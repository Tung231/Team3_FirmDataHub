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OneDrive - National Economics University\Firm_Data_Project_group3\data\"/>
    </mc:Choice>
  </mc:AlternateContent>
  <bookViews>
    <workbookView xWindow="0" yWindow="0" windowWidth="23040" windowHeight="6480"/>
  </bookViews>
  <sheets>
    <sheet name="DS công ty" sheetId="1" r:id="rId1"/>
    <sheet name="Trang tính1" sheetId="2" r:id="rId2"/>
  </sheets>
  <calcPr calcId="162913"/>
  <extLst>
    <ext uri="GoogleSheetsCustomDataVersion2">
      <go:sheetsCustomData xmlns:go="http://customooxmlschemas.google.com/" r:id="rId6" roundtripDataChecksum="3DIplr7oJY8SLpqa/Lwxk3MY3AeTevsWt3uU43LTJh4="/>
    </ext>
  </extLst>
</workbook>
</file>

<file path=xl/calcChain.xml><?xml version="1.0" encoding="utf-8"?>
<calcChain xmlns="http://schemas.openxmlformats.org/spreadsheetml/2006/main">
  <c r="AC18" i="1" l="1"/>
  <c r="AC17" i="1"/>
  <c r="AC16" i="1"/>
  <c r="AC15" i="1"/>
  <c r="AC14" i="1"/>
</calcChain>
</file>

<file path=xl/sharedStrings.xml><?xml version="1.0" encoding="utf-8"?>
<sst xmlns="http://schemas.openxmlformats.org/spreadsheetml/2006/main" count="3737" uniqueCount="2478">
  <si>
    <t xml:space="preserve"> </t>
  </si>
  <si>
    <t>No.</t>
  </si>
  <si>
    <t>Company</t>
  </si>
  <si>
    <t>Year</t>
  </si>
  <si>
    <t>Industry</t>
  </si>
  <si>
    <t>Managerial/Inside ownership</t>
  </si>
  <si>
    <t>State ownership</t>
  </si>
  <si>
    <t>Institutional ownership</t>
  </si>
  <si>
    <t>Foreign ownership</t>
  </si>
  <si>
    <t>Total share outstanding</t>
  </si>
  <si>
    <t>Total sales revenue</t>
  </si>
  <si>
    <t>Net sales revenue</t>
  </si>
  <si>
    <t>Total assets</t>
  </si>
  <si>
    <t>Selling expenses</t>
  </si>
  <si>
    <t xml:space="preserve">General and administrative expenditure </t>
  </si>
  <si>
    <t>Value of intangible assets</t>
  </si>
  <si>
    <t>Manufacturing overhead (Indirect cost)</t>
  </si>
  <si>
    <t>Net operating income</t>
  </si>
  <si>
    <t>Consumption of raw material</t>
  </si>
  <si>
    <t>Merchandise purchase of the year</t>
  </si>
  <si>
    <t>Work-in-progess goods purchase</t>
  </si>
  <si>
    <t>Outside manufacturing expenses</t>
  </si>
  <si>
    <t>Production cost</t>
  </si>
  <si>
    <t>R&amp;D expenditure</t>
  </si>
  <si>
    <t>Product innovation</t>
  </si>
  <si>
    <t>Process innovation</t>
  </si>
  <si>
    <t>Net Income</t>
  </si>
  <si>
    <t>Total shareholders' equity</t>
  </si>
  <si>
    <t>Market value of equity</t>
  </si>
  <si>
    <t>Total liabilities</t>
  </si>
  <si>
    <t>Net cash from operating activities</t>
  </si>
  <si>
    <t>Capital expenditure</t>
  </si>
  <si>
    <t>Cash flows from investing activities</t>
  </si>
  <si>
    <t>Cash and cash equivalent</t>
  </si>
  <si>
    <t>Long-term debt</t>
  </si>
  <si>
    <t>Current assets</t>
  </si>
  <si>
    <t>Current liabiltiies</t>
  </si>
  <si>
    <t>Growth ratio</t>
  </si>
  <si>
    <t>Total inventory</t>
  </si>
  <si>
    <t>Divident payment</t>
  </si>
  <si>
    <t>EPS</t>
  </si>
  <si>
    <t>Number of employees</t>
  </si>
  <si>
    <t>Firm age</t>
  </si>
  <si>
    <t>1</t>
  </si>
  <si>
    <t>CTCP Ống thép Việt Đức VG PIPE</t>
  </si>
  <si>
    <t>VGS</t>
  </si>
  <si>
    <t>2020</t>
  </si>
  <si>
    <t xml:space="preserve">Khai khoáng và vật liệu </t>
  </si>
  <si>
    <t>0.3429</t>
  </si>
  <si>
    <t>0</t>
  </si>
  <si>
    <t>0.0067</t>
  </si>
  <si>
    <t>0.0012</t>
  </si>
  <si>
    <t>42.111.589</t>
  </si>
  <si>
    <t>6.695.049.168.899</t>
  </si>
  <si>
    <t>6.669.719.726.106</t>
  </si>
  <si>
    <t>1.705.099.109.158</t>
  </si>
  <si>
    <t>104.897.745.033</t>
  </si>
  <si>
    <t>9.486.585.120</t>
  </si>
  <si>
    <t>17.659.393.735</t>
  </si>
  <si>
    <t>150.604.295.683</t>
  </si>
  <si>
    <t>176.879.744.718</t>
  </si>
  <si>
    <t>3.458.783.734.114</t>
  </si>
  <si>
    <t>6.454.824.080.341</t>
  </si>
  <si>
    <t>122.738.661.937</t>
  </si>
  <si>
    <t>3.682.510.057.440</t>
  </si>
  <si>
    <t>124.794.779.351</t>
  </si>
  <si>
    <t>757.163.153.493</t>
  </si>
  <si>
    <t>351.252.763.849</t>
  </si>
  <si>
    <t>947.935.955.665</t>
  </si>
  <si>
    <t>303.944.940.944</t>
  </si>
  <si>
    <t>-8.954.741.599</t>
  </si>
  <si>
    <t>23.989.910.060</t>
  </si>
  <si>
    <t>18.521.901.250</t>
  </si>
  <si>
    <t>1.304.532.876.887</t>
  </si>
  <si>
    <t>929.414.054.415</t>
  </si>
  <si>
    <t>-0.0244</t>
  </si>
  <si>
    <t>463.649.575.458</t>
  </si>
  <si>
    <t>-29.454.258.085</t>
  </si>
  <si>
    <t>2.221</t>
  </si>
  <si>
    <t>342</t>
  </si>
  <si>
    <t>142.346.463.635</t>
  </si>
  <si>
    <t>18</t>
  </si>
  <si>
    <t>2021</t>
  </si>
  <si>
    <t>0.4588</t>
  </si>
  <si>
    <t>0.0403</t>
  </si>
  <si>
    <t>0.0007</t>
  </si>
  <si>
    <t>6.694.120.793.415</t>
  </si>
  <si>
    <t>6.683.587.084.302</t>
  </si>
  <si>
    <t>2.080.303.590.612</t>
  </si>
  <si>
    <t>68.979.062.079</t>
  </si>
  <si>
    <t>32.654.665.201</t>
  </si>
  <si>
    <t>17.311.006.135</t>
  </si>
  <si>
    <t>182.648.621.208</t>
  </si>
  <si>
    <t>198.551.977.462</t>
  </si>
  <si>
    <t>3.238.517.617.559</t>
  </si>
  <si>
    <t>6.578.326.435.745</t>
  </si>
  <si>
    <t>51.880.694.176</t>
  </si>
  <si>
    <t>155.443.193.379</t>
  </si>
  <si>
    <t>3.490.813.970.671</t>
  </si>
  <si>
    <t>156.442.843.713</t>
  </si>
  <si>
    <t>833.148.136.950</t>
  </si>
  <si>
    <t>1.261.915.875.974</t>
  </si>
  <si>
    <t>1.247.155.453.662</t>
  </si>
  <si>
    <t>205.815.594.558</t>
  </si>
  <si>
    <t>-250.527.334.627</t>
  </si>
  <si>
    <t>55.640.847.460</t>
  </si>
  <si>
    <t>125.971.488.786</t>
  </si>
  <si>
    <t>1.486.204.543.938</t>
  </si>
  <si>
    <t>1.121.183.964.876</t>
  </si>
  <si>
    <t>0.0021</t>
  </si>
  <si>
    <t>621.519.020.895</t>
  </si>
  <si>
    <t>-42.136.047.750</t>
  </si>
  <si>
    <t>2.804</t>
  </si>
  <si>
    <t>129.832.741.602</t>
  </si>
  <si>
    <t>19</t>
  </si>
  <si>
    <t>2022</t>
  </si>
  <si>
    <t>0.4589</t>
  </si>
  <si>
    <t>0.0002</t>
  </si>
  <si>
    <t>48.427.921</t>
  </si>
  <si>
    <t>8.490.902.301.042</t>
  </si>
  <si>
    <t>8.483.237.448.241</t>
  </si>
  <si>
    <t>2.164.904.495.205</t>
  </si>
  <si>
    <t>46.075.184.126</t>
  </si>
  <si>
    <t>29.574.336.737</t>
  </si>
  <si>
    <t>16.962.618.535</t>
  </si>
  <si>
    <t>91.643.316.937</t>
  </si>
  <si>
    <t>167.147.811.616</t>
  </si>
  <si>
    <t>3.867.074.237.285</t>
  </si>
  <si>
    <t>8.101.293.946.709</t>
  </si>
  <si>
    <t>14.526.561.487</t>
  </si>
  <si>
    <t>68.513.620.326</t>
  </si>
  <si>
    <t>4.035.894.597.622</t>
  </si>
  <si>
    <t>116.495.896.567</t>
  </si>
  <si>
    <t>926.597.827.610</t>
  </si>
  <si>
    <t>404.082.572.824</t>
  </si>
  <si>
    <t>1.238.306.667.595</t>
  </si>
  <si>
    <t>56.394.943.947</t>
  </si>
  <si>
    <t>-46.462.877.633</t>
  </si>
  <si>
    <t>192.342.015.850</t>
  </si>
  <si>
    <t>2.461.558.786</t>
  </si>
  <si>
    <t>1.499.102.461.787</t>
  </si>
  <si>
    <t>1.235.845.108.809</t>
  </si>
  <si>
    <t>0.2693</t>
  </si>
  <si>
    <t>433.166.301.386</t>
  </si>
  <si>
    <t>1.929</t>
  </si>
  <si>
    <t>324</t>
  </si>
  <si>
    <t>123.551.047.602</t>
  </si>
  <si>
    <t>20</t>
  </si>
  <si>
    <t>2023</t>
  </si>
  <si>
    <t>0.0099</t>
  </si>
  <si>
    <t>53.269.670</t>
  </si>
  <si>
    <t>7.567.753.806.742</t>
  </si>
  <si>
    <t>7.555.693.061.362</t>
  </si>
  <si>
    <t>2.447.292.944.864</t>
  </si>
  <si>
    <t>52.073.155.660</t>
  </si>
  <si>
    <t>33.138.531.761</t>
  </si>
  <si>
    <t>16.614.230.935</t>
  </si>
  <si>
    <t>142.759.330.294</t>
  </si>
  <si>
    <t>122.229.442.783</t>
  </si>
  <si>
    <t>3.714.367.013.726</t>
  </si>
  <si>
    <t>7.359.096.729.559</t>
  </si>
  <si>
    <t>44.333.422.049</t>
  </si>
  <si>
    <t>108.968.375.897</t>
  </si>
  <si>
    <t>3.936.165.179.482</t>
  </si>
  <si>
    <t>71.504.196.241</t>
  </si>
  <si>
    <t>981.355.312.001</t>
  </si>
  <si>
    <t>1.063.742.040.230</t>
  </si>
  <si>
    <t>1.465.937.632.863</t>
  </si>
  <si>
    <t>55.363.328.712</t>
  </si>
  <si>
    <t>-313.336.479.063</t>
  </si>
  <si>
    <t>162.307.331.577</t>
  </si>
  <si>
    <t>207.245.378.786</t>
  </si>
  <si>
    <t>1.480.367.394.870</t>
  </si>
  <si>
    <t>1.258.692.254.077</t>
  </si>
  <si>
    <t>-0.109</t>
  </si>
  <si>
    <t>427.480.584.416</t>
  </si>
  <si>
    <t>1.028</t>
  </si>
  <si>
    <t>316</t>
  </si>
  <si>
    <t>109.383.789.457</t>
  </si>
  <si>
    <t>21</t>
  </si>
  <si>
    <t>2024</t>
  </si>
  <si>
    <t>0.2536</t>
  </si>
  <si>
    <t>0.0009</t>
  </si>
  <si>
    <t>0.0029</t>
  </si>
  <si>
    <t>55.932.126</t>
  </si>
  <si>
    <t>7.352.018.843.064</t>
  </si>
  <si>
    <t>7.321.865.829.546</t>
  </si>
  <si>
    <t>2.334.095.794.361</t>
  </si>
  <si>
    <t>51.372.220.400</t>
  </si>
  <si>
    <t>26.780.880.223</t>
  </si>
  <si>
    <t>14.361.060.891</t>
  </si>
  <si>
    <t xml:space="preserve">156.224.207.877
</t>
  </si>
  <si>
    <t>168.293.261.125</t>
  </si>
  <si>
    <t>4.387.132.012.525</t>
  </si>
  <si>
    <t>7.182.800.000</t>
  </si>
  <si>
    <t>134.644.835.419</t>
  </si>
  <si>
    <t>4.630.263.954.857</t>
  </si>
  <si>
    <t>134.896.139.015</t>
  </si>
  <si>
    <t>1.084.580.578.772</t>
  </si>
  <si>
    <t>1.588.584.242.652</t>
  </si>
  <si>
    <t>1.249.515.215.589</t>
  </si>
  <si>
    <t>93.566.156.404</t>
  </si>
  <si>
    <t>-29.836.971.030</t>
  </si>
  <si>
    <t>135.720.622.428</t>
  </si>
  <si>
    <t>205.730.838.786</t>
  </si>
  <si>
    <t>1.326.965.172.915</t>
  </si>
  <si>
    <t>1.043.784.376.803</t>
  </si>
  <si>
    <t>-0.031</t>
  </si>
  <si>
    <t>546.239.593.389</t>
  </si>
  <si>
    <t xml:space="preserve">0 </t>
  </si>
  <si>
    <t>1.845</t>
  </si>
  <si>
    <t>411</t>
  </si>
  <si>
    <t>93.180.505.801</t>
  </si>
  <si>
    <t>22</t>
  </si>
  <si>
    <t>2</t>
  </si>
  <si>
    <t>CTCP Xi măng La Hiên VVMI</t>
  </si>
  <si>
    <t>CLH</t>
  </si>
  <si>
    <t>0,0072</t>
  </si>
  <si>
    <t>0,5138</t>
  </si>
  <si>
    <t>0,6098</t>
  </si>
  <si>
    <t>0,0017</t>
  </si>
  <si>
    <t>12.000.000</t>
  </si>
  <si>
    <t>712.934.817.500</t>
  </si>
  <si>
    <t>712.913.618.863</t>
  </si>
  <si>
    <t>306.212.551.097</t>
  </si>
  <si>
    <t>13.045.817.268</t>
  </si>
  <si>
    <t>30.207.239.124</t>
  </si>
  <si>
    <t>103.496.426.062</t>
  </si>
  <si>
    <t>108.923.484.798</t>
  </si>
  <si>
    <t>461.665.218.499</t>
  </si>
  <si>
    <t>462.482.466.185</t>
  </si>
  <si>
    <t>15.721.225.860</t>
  </si>
  <si>
    <t>28.171.451.402</t>
  </si>
  <si>
    <t>664.542.359.097</t>
  </si>
  <si>
    <t>57.359.648.441</t>
  </si>
  <si>
    <t>188.893.398.810</t>
  </si>
  <si>
    <t>152.784.000.000,00</t>
  </si>
  <si>
    <t>117.319.152.287</t>
  </si>
  <si>
    <t>68.062.683.487</t>
  </si>
  <si>
    <t>-15.560.801.868</t>
  </si>
  <si>
    <t>-15.540.436.667</t>
  </si>
  <si>
    <t>33.863.885.070</t>
  </si>
  <si>
    <t>28.523.599.622</t>
  </si>
  <si>
    <t>73.608.102.988</t>
  </si>
  <si>
    <t>88.795.552.665</t>
  </si>
  <si>
    <t>0.0337</t>
  </si>
  <si>
    <t>22.374.363.002</t>
  </si>
  <si>
    <t>-23.792.959.500</t>
  </si>
  <si>
    <t>4.234</t>
  </si>
  <si>
    <t>556</t>
  </si>
  <si>
    <t>210.330.580.186</t>
  </si>
  <si>
    <t>12</t>
  </si>
  <si>
    <t>0,009</t>
  </si>
  <si>
    <t>733.785.505.193</t>
  </si>
  <si>
    <t>307.523.965.887</t>
  </si>
  <si>
    <t>13.099.398.192</t>
  </si>
  <si>
    <t>31.016.212.224</t>
  </si>
  <si>
    <t>114.738.626.010</t>
  </si>
  <si>
    <t>121.681.425.750</t>
  </si>
  <si>
    <t>440.958.482.239</t>
  </si>
  <si>
    <t>437.883.901.734</t>
  </si>
  <si>
    <t>9.976.126.619</t>
  </si>
  <si>
    <t>37.989.386.408</t>
  </si>
  <si>
    <t>662.039.852.368</t>
  </si>
  <si>
    <t>54.488.142.853</t>
  </si>
  <si>
    <t>203.903.306.326</t>
  </si>
  <si>
    <t>219.804.000.000,00</t>
  </si>
  <si>
    <t>103.620.659.561</t>
  </si>
  <si>
    <t>126.163.051.536</t>
  </si>
  <si>
    <t>-9.471.250.649</t>
  </si>
  <si>
    <t>-19.231.267.055</t>
  </si>
  <si>
    <t>86.919.518.995</t>
  </si>
  <si>
    <t>7.984.534.717</t>
  </si>
  <si>
    <t>119.301.233.964</t>
  </si>
  <si>
    <t>95.636.124.844</t>
  </si>
  <si>
    <t>0,0293</t>
  </si>
  <si>
    <t>13.550.244.462</t>
  </si>
  <si>
    <t>-51.386.637.096</t>
  </si>
  <si>
    <t>4.541</t>
  </si>
  <si>
    <t>548</t>
  </si>
  <si>
    <t>167.085.255.643</t>
  </si>
  <si>
    <t>13</t>
  </si>
  <si>
    <t>0,0094</t>
  </si>
  <si>
    <t>811.808.649.177</t>
  </si>
  <si>
    <t>319.238.155.475</t>
  </si>
  <si>
    <t>16.315.907.827</t>
  </si>
  <si>
    <t>38.511.722.246</t>
  </si>
  <si>
    <t>140.696.847.787</t>
  </si>
  <si>
    <t>120.897.411.027</t>
  </si>
  <si>
    <t>510.276.937.889</t>
  </si>
  <si>
    <t>512.079.827.889</t>
  </si>
  <si>
    <t>21.386.829.384</t>
  </si>
  <si>
    <t>58.340.683.184</t>
  </si>
  <si>
    <t>758.980.465.676</t>
  </si>
  <si>
    <t>56.034.838.069</t>
  </si>
  <si>
    <t>203.256.459.661</t>
  </si>
  <si>
    <t>262.680.000.000,00</t>
  </si>
  <si>
    <t>115.981.695.814</t>
  </si>
  <si>
    <t>90.135.750.970</t>
  </si>
  <si>
    <t>-4.451.355.332</t>
  </si>
  <si>
    <t>-31.384.340.410</t>
  </si>
  <si>
    <t>102.356.107.880</t>
  </si>
  <si>
    <t>5.520.666.186</t>
  </si>
  <si>
    <t>179.732.653.678</t>
  </si>
  <si>
    <t>110.461.029.628</t>
  </si>
  <si>
    <t>0,1063</t>
  </si>
  <si>
    <t>26.786.291.654</t>
  </si>
  <si>
    <t>-43.314.821.675</t>
  </si>
  <si>
    <t>4.670</t>
  </si>
  <si>
    <t>542</t>
  </si>
  <si>
    <t>124.979.915.789</t>
  </si>
  <si>
    <t>14</t>
  </si>
  <si>
    <t>0,0042</t>
  </si>
  <si>
    <t>0,5293</t>
  </si>
  <si>
    <t>0,0308</t>
  </si>
  <si>
    <t>659.208.559.383</t>
  </si>
  <si>
    <t>659.188.568.474</t>
  </si>
  <si>
    <t>303.338.132.786</t>
  </si>
  <si>
    <t>12.971.357.743</t>
  </si>
  <si>
    <t>34.421.305.356</t>
  </si>
  <si>
    <t>120.186.724.000</t>
  </si>
  <si>
    <t>92.652.295.655</t>
  </si>
  <si>
    <t>388.731.692.519</t>
  </si>
  <si>
    <t>411.471.340.441</t>
  </si>
  <si>
    <t>16.021.748.871</t>
  </si>
  <si>
    <t>56.367.863.829</t>
  </si>
  <si>
    <t>598.680.739.795</t>
  </si>
  <si>
    <t>47.118.162.905</t>
  </si>
  <si>
    <t>196.739.784.497</t>
  </si>
  <si>
    <t>256.416.000.000,00</t>
  </si>
  <si>
    <t>106.598.348.289</t>
  </si>
  <si>
    <t>33.078.254.657</t>
  </si>
  <si>
    <t>-1.374.812.188</t>
  </si>
  <si>
    <t>4.208.121.888</t>
  </si>
  <si>
    <t>97.621.552.925</t>
  </si>
  <si>
    <t>3.055.066.121</t>
  </si>
  <si>
    <t>195.379.802.787</t>
  </si>
  <si>
    <t>103.543.282.168</t>
  </si>
  <si>
    <t>-0,188</t>
  </si>
  <si>
    <t>44.168.552.646</t>
  </si>
  <si>
    <t>-39.520.931.500</t>
  </si>
  <si>
    <t>3.927</t>
  </si>
  <si>
    <t>494</t>
  </si>
  <si>
    <t>94.420.440.372</t>
  </si>
  <si>
    <t>15</t>
  </si>
  <si>
    <t>0,0013</t>
  </si>
  <si>
    <t>0,5421</t>
  </si>
  <si>
    <t>0,0304</t>
  </si>
  <si>
    <t>661.186.027.676</t>
  </si>
  <si>
    <t>312.128.965.936</t>
  </si>
  <si>
    <t>12.297.022.274</t>
  </si>
  <si>
    <t>38.020.527.610</t>
  </si>
  <si>
    <t>104.369.676.387</t>
  </si>
  <si>
    <t>63.731.756.537</t>
  </si>
  <si>
    <t>410.254.029.978</t>
  </si>
  <si>
    <t>390.905.854.508</t>
  </si>
  <si>
    <t>6.354.846.880</t>
  </si>
  <si>
    <t>49.851.437.055</t>
  </si>
  <si>
    <t>607.113.167.260</t>
  </si>
  <si>
    <t>38.679.263.999</t>
  </si>
  <si>
    <t>200.300.885.591</t>
  </si>
  <si>
    <t>235.860.000.000,00</t>
  </si>
  <si>
    <t>111.828.080.345</t>
  </si>
  <si>
    <t>78.112.439.948</t>
  </si>
  <si>
    <t>-10.393.252.349</t>
  </si>
  <si>
    <t>-36.134.811.696</t>
  </si>
  <si>
    <t>115.702.261.577</t>
  </si>
  <si>
    <t>592.853.832</t>
  </si>
  <si>
    <t>210.022.921.582</t>
  </si>
  <si>
    <t>111.235.226.513</t>
  </si>
  <si>
    <t>0,003</t>
  </si>
  <si>
    <t>15.134.650.974</t>
  </si>
  <si>
    <t>-18.896.919.600</t>
  </si>
  <si>
    <t>2.300</t>
  </si>
  <si>
    <t>450</t>
  </si>
  <si>
    <t>89.968.626.892</t>
  </si>
  <si>
    <t>16</t>
  </si>
  <si>
    <t>3</t>
  </si>
  <si>
    <t>CTCP Khoáng sản và Vật liệu xây dựng Lâm Đồng</t>
  </si>
  <si>
    <t>LBM</t>
  </si>
  <si>
    <t>0,0709</t>
  </si>
  <si>
    <t>0,649</t>
  </si>
  <si>
    <t>0,036</t>
  </si>
  <si>
    <t>10.000.000</t>
  </si>
  <si>
    <t>604.352.195.690</t>
  </si>
  <si>
    <t>450.880.858.646</t>
  </si>
  <si>
    <t>2.338.852.150</t>
  </si>
  <si>
    <t>57.050.774.197</t>
  </si>
  <si>
    <t>9.731.982.221</t>
  </si>
  <si>
    <t>205.350.534.607</t>
  </si>
  <si>
    <t>133.679.839.188</t>
  </si>
  <si>
    <t>221.876.948.815</t>
  </si>
  <si>
    <t>225.459.215.506</t>
  </si>
  <si>
    <t>2.871.912.769</t>
  </si>
  <si>
    <t>129.755.128.753</t>
  </si>
  <si>
    <t>521.297.836.942</t>
  </si>
  <si>
    <t>85.158.974.247</t>
  </si>
  <si>
    <t>378.275.656.867</t>
  </si>
  <si>
    <t>72.605.201.779</t>
  </si>
  <si>
    <t>108.054.417.684</t>
  </si>
  <si>
    <t>-59.282.028.748</t>
  </si>
  <si>
    <t>-60.551.380.963</t>
  </si>
  <si>
    <t>61.850.855.272</t>
  </si>
  <si>
    <t>196.099.053.280</t>
  </si>
  <si>
    <t>71.618.701.779</t>
  </si>
  <si>
    <t>0,0262</t>
  </si>
  <si>
    <t>50.051.227.065</t>
  </si>
  <si>
    <t>25.753.108.333</t>
  </si>
  <si>
    <t>6.684</t>
  </si>
  <si>
    <t>603</t>
  </si>
  <si>
    <t>219.619.113.821</t>
  </si>
  <si>
    <t>17</t>
  </si>
  <si>
    <t>0,052</t>
  </si>
  <si>
    <t>0,096</t>
  </si>
  <si>
    <t>788.120.043.488</t>
  </si>
  <si>
    <t>787.824.716.215</t>
  </si>
  <si>
    <t>544.077.560.163</t>
  </si>
  <si>
    <t>2.664.174.044</t>
  </si>
  <si>
    <t>78.622.408.223</t>
  </si>
  <si>
    <t>22.078.135.899</t>
  </si>
  <si>
    <t>229.999.757.012</t>
  </si>
  <si>
    <t>161.644.514.410</t>
  </si>
  <si>
    <t>332.972.977.514</t>
  </si>
  <si>
    <t>340.859.652.186</t>
  </si>
  <si>
    <t>3.366.755.512</t>
  </si>
  <si>
    <t>129.342.958.356</t>
  </si>
  <si>
    <t>696.299.567.058</t>
  </si>
  <si>
    <t>99.833.172.138</t>
  </si>
  <si>
    <t>434.580.706.028</t>
  </si>
  <si>
    <t>109.496.854.135</t>
  </si>
  <si>
    <t>164.953.194.680</t>
  </si>
  <si>
    <t>-154.467.767.938</t>
  </si>
  <si>
    <t>-152.126.148.699</t>
  </si>
  <si>
    <t>49.313.168.982</t>
  </si>
  <si>
    <t>217.666.050.627</t>
  </si>
  <si>
    <t>108.510.354.135</t>
  </si>
  <si>
    <t>0,3036</t>
  </si>
  <si>
    <t>68.034.298.178</t>
  </si>
  <si>
    <t>25.260.925.000</t>
  </si>
  <si>
    <t>8.175</t>
  </si>
  <si>
    <t>688</t>
  </si>
  <si>
    <t>278.125.321.432</t>
  </si>
  <si>
    <t>0,0351</t>
  </si>
  <si>
    <t>0,1329</t>
  </si>
  <si>
    <t>20.000.000</t>
  </si>
  <si>
    <t>1.113.267.981.194</t>
  </si>
  <si>
    <t>713.007.176.154</t>
  </si>
  <si>
    <t>3.342.499.860</t>
  </si>
  <si>
    <t>107.435.397.997</t>
  </si>
  <si>
    <t>14.774.265.406</t>
  </si>
  <si>
    <t>245.279.433.461</t>
  </si>
  <si>
    <t>226.626.524.753</t>
  </si>
  <si>
    <t>551.550.494.242</t>
  </si>
  <si>
    <t>598.616.257.012</t>
  </si>
  <si>
    <t>3.942.971.908</t>
  </si>
  <si>
    <t>120.219.505.172</t>
  </si>
  <si>
    <t>917.793.250.163</t>
  </si>
  <si>
    <t>150.554.950.977</t>
  </si>
  <si>
    <t>533.503.062.463</t>
  </si>
  <si>
    <t>179.504.113.691</t>
  </si>
  <si>
    <t>166.534.810.567</t>
  </si>
  <si>
    <t>-130.578.739.663</t>
  </si>
  <si>
    <t>-110.940.773.560</t>
  </si>
  <si>
    <t>82.429.250.184</t>
  </si>
  <si>
    <t>314.974.858.712</t>
  </si>
  <si>
    <t>178.517.613.691</t>
  </si>
  <si>
    <t>0,4131</t>
  </si>
  <si>
    <t>128.410.629.891</t>
  </si>
  <si>
    <t>22.186.700.000</t>
  </si>
  <si>
    <t>6.058</t>
  </si>
  <si>
    <t>774</t>
  </si>
  <si>
    <t>347.942.339.157</t>
  </si>
  <si>
    <t>0,0286</t>
  </si>
  <si>
    <t>0,1681</t>
  </si>
  <si>
    <t>901.723.777.354</t>
  </si>
  <si>
    <t>769.875.715.021</t>
  </si>
  <si>
    <t>3.162.427.454</t>
  </si>
  <si>
    <t>97.411.252.744</t>
  </si>
  <si>
    <t>14.488.187.866</t>
  </si>
  <si>
    <t>221.421.767.069</t>
  </si>
  <si>
    <t>241.088.456.948</t>
  </si>
  <si>
    <t>349.024.614.912</t>
  </si>
  <si>
    <t>342.977.999.400</t>
  </si>
  <si>
    <t>4.176.427.067</t>
  </si>
  <si>
    <t>106.722.800.980</t>
  </si>
  <si>
    <t>729.588.495.835</t>
  </si>
  <si>
    <t>159.277.391.696</t>
  </si>
  <si>
    <t>600.567.229.107</t>
  </si>
  <si>
    <t>169.308.485.914</t>
  </si>
  <si>
    <t>92.779.475.077</t>
  </si>
  <si>
    <t>-189.171.929.432</t>
  </si>
  <si>
    <t>-146.936.912.484</t>
  </si>
  <si>
    <t>63.029.302.488</t>
  </si>
  <si>
    <t>39.000.000.000</t>
  </si>
  <si>
    <t>403.101.143.434</t>
  </si>
  <si>
    <t>129.321.810.942</t>
  </si>
  <si>
    <t>-0,19</t>
  </si>
  <si>
    <t>114.360.107.359</t>
  </si>
  <si>
    <t>58.176.700.000</t>
  </si>
  <si>
    <t>6.254</t>
  </si>
  <si>
    <t>731</t>
  </si>
  <si>
    <t>293.250.734.103</t>
  </si>
  <si>
    <t>0,0191</t>
  </si>
  <si>
    <t>0,1564</t>
  </si>
  <si>
    <t>40.000.000</t>
  </si>
  <si>
    <t>873.041.189.534</t>
  </si>
  <si>
    <t>813.952.620.323</t>
  </si>
  <si>
    <t>4.950.872.868</t>
  </si>
  <si>
    <t>79.349.672.246</t>
  </si>
  <si>
    <t>14.202.110.326</t>
  </si>
  <si>
    <t>186.909.100.257</t>
  </si>
  <si>
    <t>182.162.326.917</t>
  </si>
  <si>
    <t>412.135.757.950</t>
  </si>
  <si>
    <t>418.009.752.503</t>
  </si>
  <si>
    <t>5.539.875.188</t>
  </si>
  <si>
    <t>82.717.725.628</t>
  </si>
  <si>
    <t>750.468.865.474</t>
  </si>
  <si>
    <t>104.538.163.107</t>
  </si>
  <si>
    <t>573.106.729.433</t>
  </si>
  <si>
    <t>240.845.890.890</t>
  </si>
  <si>
    <t>196.558.074.856</t>
  </si>
  <si>
    <t>-251.696.993.806</t>
  </si>
  <si>
    <t>-245.360.519.469</t>
  </si>
  <si>
    <t>50.151.450.136</t>
  </si>
  <si>
    <t>27.000.000.000</t>
  </si>
  <si>
    <t>273.250.329.551</t>
  </si>
  <si>
    <t>172.960.890.399</t>
  </si>
  <si>
    <t>0,0318</t>
  </si>
  <si>
    <t>104.708.821.718</t>
  </si>
  <si>
    <t>70.176.700.000</t>
  </si>
  <si>
    <t>2.061</t>
  </si>
  <si>
    <t>778</t>
  </si>
  <si>
    <t>320.881.728.900</t>
  </si>
  <si>
    <t>4</t>
  </si>
  <si>
    <t>CTCP Than Hà Tu - Vinacomin</t>
  </si>
  <si>
    <t>QHD</t>
  </si>
  <si>
    <t>0,1691</t>
  </si>
  <si>
    <t>0,0009</t>
  </si>
  <si>
    <t>0,0059</t>
  </si>
  <si>
    <t>5.524.716</t>
  </si>
  <si>
    <t>277.795.004.613</t>
  </si>
  <si>
    <t>272.329.086.274</t>
  </si>
  <si>
    <t>131.542.392.743</t>
  </si>
  <si>
    <t>7.408.954.356</t>
  </si>
  <si>
    <t>10.585.200.543</t>
  </si>
  <si>
    <t>24.782.114.825</t>
  </si>
  <si>
    <t>60.926.190.495</t>
  </si>
  <si>
    <t>171.789.696.935</t>
  </si>
  <si>
    <t>9.283.541.263</t>
  </si>
  <si>
    <t>1.787.775.150</t>
  </si>
  <si>
    <t>5.912.054.745</t>
  </si>
  <si>
    <t>222.241.587.339</t>
  </si>
  <si>
    <t>37.251.853.361</t>
  </si>
  <si>
    <t>95.739.012.983</t>
  </si>
  <si>
    <t>101.571.903.660</t>
  </si>
  <si>
    <t>35.803.379.760</t>
  </si>
  <si>
    <t>17.663.583.911</t>
  </si>
  <si>
    <t>-1.017.245.454</t>
  </si>
  <si>
    <t>-1.004.925.905</t>
  </si>
  <si>
    <t>19.531.924.894</t>
  </si>
  <si>
    <t>91.991.944.732</t>
  </si>
  <si>
    <t>0,137</t>
  </si>
  <si>
    <t>40.053.600.718</t>
  </si>
  <si>
    <t>-8.348.519.535</t>
  </si>
  <si>
    <t>5.497</t>
  </si>
  <si>
    <t>176</t>
  </si>
  <si>
    <t>36.088.271.984</t>
  </si>
  <si>
    <t>53</t>
  </si>
  <si>
    <t>0,0086</t>
  </si>
  <si>
    <t>277.392.742.980</t>
  </si>
  <si>
    <t>273.476.947.130</t>
  </si>
  <si>
    <t>137.878.604.819</t>
  </si>
  <si>
    <t>9.138.538.732</t>
  </si>
  <si>
    <t>10.298.239.648</t>
  </si>
  <si>
    <t>26.633.825.888</t>
  </si>
  <si>
    <t>40.595.026.582</t>
  </si>
  <si>
    <t>199.318.807.591</t>
  </si>
  <si>
    <t>8.140.755.137</t>
  </si>
  <si>
    <t>1.917.550.507</t>
  </si>
  <si>
    <t>7.067.166.839</t>
  </si>
  <si>
    <t>252.374.218.389</t>
  </si>
  <si>
    <t>15.063.223.952</t>
  </si>
  <si>
    <t>95.338.280.507</t>
  </si>
  <si>
    <t>166.840.898.484</t>
  </si>
  <si>
    <t>42.540.324.312</t>
  </si>
  <si>
    <t>10.586.400.659</t>
  </si>
  <si>
    <t>-6.670.842.995</t>
  </si>
  <si>
    <t>-6.655.693.711</t>
  </si>
  <si>
    <t>23.485.924.291</t>
  </si>
  <si>
    <t>99.156.419.923</t>
  </si>
  <si>
    <t>0,004</t>
  </si>
  <si>
    <t>42.044.072.469</t>
  </si>
  <si>
    <t>-10.479.366.200</t>
  </si>
  <si>
    <t>2.131</t>
  </si>
  <si>
    <t>177</t>
  </si>
  <si>
    <t>29.303.368.636</t>
  </si>
  <si>
    <t>54</t>
  </si>
  <si>
    <t>0,1175</t>
  </si>
  <si>
    <t>0,00006</t>
  </si>
  <si>
    <t>304.371.867.036</t>
  </si>
  <si>
    <t>300.353.301.689</t>
  </si>
  <si>
    <t>160.193.734.937</t>
  </si>
  <si>
    <t>9.552.999.122</t>
  </si>
  <si>
    <t>14.619.296.429</t>
  </si>
  <si>
    <t>26.414.177.383</t>
  </si>
  <si>
    <t>52.847.810.068</t>
  </si>
  <si>
    <t>210.566.816.902</t>
  </si>
  <si>
    <t>11.731.979.084</t>
  </si>
  <si>
    <t>1.874.061.960</t>
  </si>
  <si>
    <t>8.872.946.677</t>
  </si>
  <si>
    <t>265.853.940.962</t>
  </si>
  <si>
    <t>22.291.758.938</t>
  </si>
  <si>
    <t>102.234.348.894</t>
  </si>
  <si>
    <t>152.222.499.948</t>
  </si>
  <si>
    <t>57.959.386.043</t>
  </si>
  <si>
    <t>30.318.475.223</t>
  </si>
  <si>
    <t>-7.261.076.018</t>
  </si>
  <si>
    <t>-6.681.277.194</t>
  </si>
  <si>
    <t>38.408.077.406</t>
  </si>
  <si>
    <t>120.102.071.682</t>
  </si>
  <si>
    <t>0,098</t>
  </si>
  <si>
    <t>47.737.600.121</t>
  </si>
  <si>
    <t>-11.017.351.150</t>
  </si>
  <si>
    <t>3.312</t>
  </si>
  <si>
    <t>179</t>
  </si>
  <si>
    <t>31.022.150.195</t>
  </si>
  <si>
    <t>55</t>
  </si>
  <si>
    <t>0,00004</t>
  </si>
  <si>
    <t>315.538.760.972</t>
  </si>
  <si>
    <t>310.780.717.038</t>
  </si>
  <si>
    <t>164.226.446.485</t>
  </si>
  <si>
    <t>12.830.059.995</t>
  </si>
  <si>
    <t>14.550.185.693</t>
  </si>
  <si>
    <t>29.970.062.992</t>
  </si>
  <si>
    <t>57.335.472.901</t>
  </si>
  <si>
    <t>213.004.722.562</t>
  </si>
  <si>
    <t>19.200.495.846</t>
  </si>
  <si>
    <t>10.390.644.430</t>
  </si>
  <si>
    <t>6.632.866.763</t>
  </si>
  <si>
    <t>273.947.371.300</t>
  </si>
  <si>
    <t>29.575.117.537</t>
  </si>
  <si>
    <t>114.153.290.132</t>
  </si>
  <si>
    <t>152.725.249.104</t>
  </si>
  <si>
    <t>50.073.156.353</t>
  </si>
  <si>
    <t>13.984.889.783</t>
  </si>
  <si>
    <t>-1.929.176.674</t>
  </si>
  <si>
    <t>-1.906.612.047</t>
  </si>
  <si>
    <t>30.711.363.013</t>
  </si>
  <si>
    <t>4.524.180.000</t>
  </si>
  <si>
    <t>129.351.840.270</t>
  </si>
  <si>
    <t>45.548.976.353</t>
  </si>
  <si>
    <t>0,035</t>
  </si>
  <si>
    <t>54.781.639.103</t>
  </si>
  <si>
    <t>-11.063.499.025</t>
  </si>
  <si>
    <t>4.289</t>
  </si>
  <si>
    <t>187</t>
  </si>
  <si>
    <t>32.048.376.637</t>
  </si>
  <si>
    <t>56</t>
  </si>
  <si>
    <t>358.808.909.405</t>
  </si>
  <si>
    <t>355.170.369.820</t>
  </si>
  <si>
    <t>168.510.223.693</t>
  </si>
  <si>
    <t>15.156.366.081</t>
  </si>
  <si>
    <t>16.750.782.200</t>
  </si>
  <si>
    <t>35.326.264.449</t>
  </si>
  <si>
    <t>48.678.412.971</t>
  </si>
  <si>
    <t>234.711.485.875</t>
  </si>
  <si>
    <t>33.998.643.581</t>
  </si>
  <si>
    <t>10.166.164.187</t>
  </si>
  <si>
    <t>10.456.623.726</t>
  </si>
  <si>
    <t>304.437.624.558</t>
  </si>
  <si>
    <t>17.244.107.369</t>
  </si>
  <si>
    <t>114.637.421.148</t>
  </si>
  <si>
    <t>143.101.193.832</t>
  </si>
  <si>
    <t>53.872.802.545</t>
  </si>
  <si>
    <t>-1.183.122.268</t>
  </si>
  <si>
    <t>-3.897.700.918</t>
  </si>
  <si>
    <t>-3.876.198.366</t>
  </si>
  <si>
    <t>24.412.914.593</t>
  </si>
  <si>
    <t>3.485.820.000</t>
  </si>
  <si>
    <t>136.795.413.351</t>
  </si>
  <si>
    <t>50.386.982.545</t>
  </si>
  <si>
    <t>0,143</t>
  </si>
  <si>
    <t>56.237.104.738</t>
  </si>
  <si>
    <t>-11.041.412.100</t>
  </si>
  <si>
    <t>2.440</t>
  </si>
  <si>
    <t>182</t>
  </si>
  <si>
    <t>28.810.069.708</t>
  </si>
  <si>
    <t>57</t>
  </si>
  <si>
    <t>5</t>
  </si>
  <si>
    <t>CTCP Hóa chất Mỏ - Vinacomin</t>
  </si>
  <si>
    <t>MVB</t>
  </si>
  <si>
    <t>0,00075</t>
  </si>
  <si>
    <t>0,9819</t>
  </si>
  <si>
    <t>0,00057</t>
  </si>
  <si>
    <t>0,00017</t>
  </si>
  <si>
    <t>105.000.000</t>
  </si>
  <si>
    <t>4.861.159.335.08</t>
  </si>
  <si>
    <t>4.859.049.292.091</t>
  </si>
  <si>
    <t>3.731.007.992.762</t>
  </si>
  <si>
    <t>100.167.927.063</t>
  </si>
  <si>
    <t>293.156.747.093</t>
  </si>
  <si>
    <t>28.905.456.479</t>
  </si>
  <si>
    <t>1.486.366.748.500</t>
  </si>
  <si>
    <t>847.211.808.334</t>
  </si>
  <si>
    <t>2.315.707.968.134</t>
  </si>
  <si>
    <t>150.702.564.620</t>
  </si>
  <si>
    <t>394.739.187.976</t>
  </si>
  <si>
    <t>4.422.267.802.520</t>
  </si>
  <si>
    <t>410.780.433.047</t>
  </si>
  <si>
    <t>1.844.118.719.903</t>
  </si>
  <si>
    <t>929.985.000.000</t>
  </si>
  <si>
    <t>1.886.889.272.859</t>
  </si>
  <si>
    <t>542.977.217.796</t>
  </si>
  <si>
    <t>192.788.488.905</t>
  </si>
  <si>
    <t>-186.528.968.374</t>
  </si>
  <si>
    <t>137.530.492.922</t>
  </si>
  <si>
    <t>686.098.303.714</t>
  </si>
  <si>
    <t>969.096.211.802</t>
  </si>
  <si>
    <t>1.200.790.969.145</t>
  </si>
  <si>
    <t>-0,045</t>
  </si>
  <si>
    <t>251.476.611.544</t>
  </si>
  <si>
    <t>-118.550.882.500</t>
  </si>
  <si>
    <t>2.631</t>
  </si>
  <si>
    <t>1.943</t>
  </si>
  <si>
    <t>2.039.581.038.602</t>
  </si>
  <si>
    <t>0,00022</t>
  </si>
  <si>
    <t>4.926.878.151.754</t>
  </si>
  <si>
    <t>3.677.973.680.320</t>
  </si>
  <si>
    <t>92.249.554.378</t>
  </si>
  <si>
    <t>300.087.596.013</t>
  </si>
  <si>
    <t>27.372.196.700</t>
  </si>
  <si>
    <t>1.398.800.261.308</t>
  </si>
  <si>
    <t>842.137.389.537</t>
  </si>
  <si>
    <t>2.430.134.707.026</t>
  </si>
  <si>
    <t>95.922.443.814</t>
  </si>
  <si>
    <t>374.708.808.536</t>
  </si>
  <si>
    <t>4.437.741.474.416</t>
  </si>
  <si>
    <t>409.825.849.780</t>
  </si>
  <si>
    <t>1.930.591.164.516</t>
  </si>
  <si>
    <t>2.155.440.000.000</t>
  </si>
  <si>
    <t>1.684.254.390.086</t>
  </si>
  <si>
    <t>791.561.103.867</t>
  </si>
  <si>
    <t>190.288.616.043</t>
  </si>
  <si>
    <t>-330.194.886.552</t>
  </si>
  <si>
    <t>239.045.222.605</t>
  </si>
  <si>
    <t>578.042.687.344</t>
  </si>
  <si>
    <t>1.021.666.291.159</t>
  </si>
  <si>
    <t>1.106.211.702.742</t>
  </si>
  <si>
    <t>0,0135</t>
  </si>
  <si>
    <t>233.161.208.210</t>
  </si>
  <si>
    <t>-146.069.333.000</t>
  </si>
  <si>
    <t>2.741</t>
  </si>
  <si>
    <t>1.903.218.967.816</t>
  </si>
  <si>
    <t>0,00015</t>
  </si>
  <si>
    <t>0,000005</t>
  </si>
  <si>
    <t>0,00074</t>
  </si>
  <si>
    <t>5.478.137.241.276</t>
  </si>
  <si>
    <t>5.475.648.978.823</t>
  </si>
  <si>
    <t>3.374.599.524.052</t>
  </si>
  <si>
    <t>105.131.666.343</t>
  </si>
  <si>
    <t>347.674.412.101</t>
  </si>
  <si>
    <t>25.300.420.712</t>
  </si>
  <si>
    <t>1.601.273.977.234</t>
  </si>
  <si>
    <t>768.049.717.260</t>
  </si>
  <si>
    <t>2.857.711.688.469</t>
  </si>
  <si>
    <t>96.620.209.586</t>
  </si>
  <si>
    <t>468.252.972.871</t>
  </si>
  <si>
    <t>5.109.158.651.627</t>
  </si>
  <si>
    <t>285.637.977.732</t>
  </si>
  <si>
    <t>1.993.719.290.234</t>
  </si>
  <si>
    <t>1.692.810.000.000</t>
  </si>
  <si>
    <t>1.412.880.501.523</t>
  </si>
  <si>
    <t>563.666.829.688</t>
  </si>
  <si>
    <t>39.310.443.523</t>
  </si>
  <si>
    <t>29.132.401.229</t>
  </si>
  <si>
    <t>293.380.620.115</t>
  </si>
  <si>
    <t>400.640.792.946</t>
  </si>
  <si>
    <t>1.189.608.156.470</t>
  </si>
  <si>
    <t>1.012.239.708.577</t>
  </si>
  <si>
    <t>0,1119</t>
  </si>
  <si>
    <t>229.231.443.331</t>
  </si>
  <si>
    <t>-199.446.406.675</t>
  </si>
  <si>
    <t>1.265</t>
  </si>
  <si>
    <t>1.760</t>
  </si>
  <si>
    <t>1.541.270.426.354</t>
  </si>
  <si>
    <t>0,00033</t>
  </si>
  <si>
    <t>0,00067</t>
  </si>
  <si>
    <t>4.887.887.393.320</t>
  </si>
  <si>
    <t>4.883.304.523.158</t>
  </si>
  <si>
    <t>3.110.355.205.465</t>
  </si>
  <si>
    <t>106.096.632.440</t>
  </si>
  <si>
    <t>340.157.918.184</t>
  </si>
  <si>
    <t>5.229.977.552</t>
  </si>
  <si>
    <t>1.431.821.131.651</t>
  </si>
  <si>
    <t>362.608.599.542</t>
  </si>
  <si>
    <t>2.601.815.384.871</t>
  </si>
  <si>
    <t>241.434.132.448</t>
  </si>
  <si>
    <t>425.193.875.986</t>
  </si>
  <si>
    <t>4.681.635.308.891</t>
  </si>
  <si>
    <t>2.048.978.570.324</t>
  </si>
  <si>
    <t>1.955.940.000.000</t>
  </si>
  <si>
    <t>1.061.376.635.141</t>
  </si>
  <si>
    <t>645.511.545.759</t>
  </si>
  <si>
    <t>39.771.753.785</t>
  </si>
  <si>
    <t>-200.120.637.430</t>
  </si>
  <si>
    <t>225.121.324.978</t>
  </si>
  <si>
    <t>75.728.847.714</t>
  </si>
  <si>
    <t>1.272.544.987.965</t>
  </si>
  <si>
    <t>985.647.787.427</t>
  </si>
  <si>
    <t>-0,1077</t>
  </si>
  <si>
    <t>450.632.522.149</t>
  </si>
  <si>
    <t>-139.346.801.000</t>
  </si>
  <si>
    <t>1.902</t>
  </si>
  <si>
    <t>3.361</t>
  </si>
  <si>
    <t>1.251.078.911.721</t>
  </si>
  <si>
    <t>0,00016</t>
  </si>
  <si>
    <t>5.273.038.459.513</t>
  </si>
  <si>
    <t>5.267.968.058.123</t>
  </si>
  <si>
    <t>3.164.306.501.793</t>
  </si>
  <si>
    <t>100.952.568.105</t>
  </si>
  <si>
    <t>349.858.218.760</t>
  </si>
  <si>
    <t>4.633.530.585</t>
  </si>
  <si>
    <t>1.250.360.536.601</t>
  </si>
  <si>
    <t>537.152.213.488</t>
  </si>
  <si>
    <t>2.950.781.144.120</t>
  </si>
  <si>
    <t>171.939.349.739</t>
  </si>
  <si>
    <t>350.530.399.642</t>
  </si>
  <si>
    <t>4.852.508.135.316</t>
  </si>
  <si>
    <t>291.770.265.034</t>
  </si>
  <si>
    <t>2.072.690.139.620</t>
  </si>
  <si>
    <t>1.900.500.000.000</t>
  </si>
  <si>
    <t>1.091.616.362.173</t>
  </si>
  <si>
    <t>240.623.677.005</t>
  </si>
  <si>
    <t>152.389.893.139</t>
  </si>
  <si>
    <t>48.846.666.143</t>
  </si>
  <si>
    <t>327.949.309.104</t>
  </si>
  <si>
    <t>147.139.940.551</t>
  </si>
  <si>
    <t>1.290.552.755.844</t>
  </si>
  <si>
    <t>944.476.421.622</t>
  </si>
  <si>
    <t>0,0788</t>
  </si>
  <si>
    <t>363.699.025.772</t>
  </si>
  <si>
    <t>-162.828.035.140</t>
  </si>
  <si>
    <t>1.836</t>
  </si>
  <si>
    <t>3.285</t>
  </si>
  <si>
    <t>1.169.791.738.503</t>
  </si>
  <si>
    <t>6</t>
  </si>
  <si>
    <t>CTCP Thực phẩm Bích Chi</t>
  </si>
  <si>
    <t>BCF</t>
  </si>
  <si>
    <t>0.5153</t>
  </si>
  <si>
    <t>0.00</t>
  </si>
  <si>
    <t>0.009</t>
  </si>
  <si>
    <t>21.083.725</t>
  </si>
  <si>
    <t>600.148.438.421</t>
  </si>
  <si>
    <t>591.641.978.174</t>
  </si>
  <si>
    <t>393.763.848.739</t>
  </si>
  <si>
    <t>39.646.950.178</t>
  </si>
  <si>
    <t>23.636.325.752</t>
  </si>
  <si>
    <t>230.000.000</t>
  </si>
  <si>
    <t>172.031.736.877</t>
  </si>
  <si>
    <t>137.254.715.884</t>
  </si>
  <si>
    <t>248.918.311.943</t>
  </si>
  <si>
    <t>439.868.195.448</t>
  </si>
  <si>
    <t>22.425.889.750</t>
  </si>
  <si>
    <t>138.310.517.723</t>
  </si>
  <si>
    <t>499.338.580.827</t>
  </si>
  <si>
    <t>115.805.913.343</t>
  </si>
  <si>
    <t>274.711.345.484</t>
  </si>
  <si>
    <t>386.000.837.300</t>
  </si>
  <si>
    <t>119.052.503.255</t>
  </si>
  <si>
    <t>69.816.641.923</t>
  </si>
  <si>
    <t>-8.884.039.678</t>
  </si>
  <si>
    <t>-74.925.033.167</t>
  </si>
  <si>
    <t>53.852.142.305</t>
  </si>
  <si>
    <t>317.269.337.435</t>
  </si>
  <si>
    <t>0,115</t>
  </si>
  <si>
    <t>89.012.561.216</t>
  </si>
  <si>
    <t>-36.812.420.890</t>
  </si>
  <si>
    <t>4,83</t>
  </si>
  <si>
    <t>895</t>
  </si>
  <si>
    <t>57.085.226.838</t>
  </si>
  <si>
    <t>0.5671</t>
  </si>
  <si>
    <t>0,0046</t>
  </si>
  <si>
    <t>25.300.423</t>
  </si>
  <si>
    <t>520.411.656.987</t>
  </si>
  <si>
    <t>511.689.011.348</t>
  </si>
  <si>
    <t>406.562.636.297</t>
  </si>
  <si>
    <t>45.495.223.869</t>
  </si>
  <si>
    <t>22.849.191.389</t>
  </si>
  <si>
    <t>85.974.604.592</t>
  </si>
  <si>
    <t>86.924.450.680</t>
  </si>
  <si>
    <t>296.832.822.314</t>
  </si>
  <si>
    <t>395.895.450.885</t>
  </si>
  <si>
    <t>17.258.832.150</t>
  </si>
  <si>
    <t>55.667.219.952</t>
  </si>
  <si>
    <t>454.040.440.131</t>
  </si>
  <si>
    <t>59.470.399.024</t>
  </si>
  <si>
    <t>302.707.886.636</t>
  </si>
  <si>
    <t>525.413.884.441</t>
  </si>
  <si>
    <t>103.854.749.661</t>
  </si>
  <si>
    <t>64.598.996.760</t>
  </si>
  <si>
    <t>-25.785.954.350</t>
  </si>
  <si>
    <t>-10.122.969.778</t>
  </si>
  <si>
    <t>55.823.257.553</t>
  </si>
  <si>
    <t>323.359.793.990</t>
  </si>
  <si>
    <t>103.648.749.661</t>
  </si>
  <si>
    <t>-0,135</t>
  </si>
  <si>
    <t>94.445.822.494</t>
  </si>
  <si>
    <t>-43.335.841.650</t>
  </si>
  <si>
    <t>2,126</t>
  </si>
  <si>
    <t>915</t>
  </si>
  <si>
    <t>44.728.078.805</t>
  </si>
  <si>
    <t>0.5993</t>
  </si>
  <si>
    <t>0,0011</t>
  </si>
  <si>
    <t>27.830.412</t>
  </si>
  <si>
    <t>708.378.373.954</t>
  </si>
  <si>
    <t>697.866.434.137</t>
  </si>
  <si>
    <t>452.082.116.662</t>
  </si>
  <si>
    <t>58.299.855.569</t>
  </si>
  <si>
    <t>25.729.416.849</t>
  </si>
  <si>
    <t>86.150.710.672</t>
  </si>
  <si>
    <t>153.284.938.500</t>
  </si>
  <si>
    <t>405.863.754.495</t>
  </si>
  <si>
    <t>516.277.309.771</t>
  </si>
  <si>
    <t>28.012.526.591</t>
  </si>
  <si>
    <t>70.261.394.265</t>
  </si>
  <si>
    <t>589.915.227.235</t>
  </si>
  <si>
    <t>119.051.333.482</t>
  </si>
  <si>
    <t>339.024.090.825</t>
  </si>
  <si>
    <t>745.354.059.840</t>
  </si>
  <si>
    <t>113.058.025.837</t>
  </si>
  <si>
    <t>81.396.036.075</t>
  </si>
  <si>
    <t>-27.497.502.697</t>
  </si>
  <si>
    <t>-29.312.112.434</t>
  </si>
  <si>
    <t>84.280.790.762</t>
  </si>
  <si>
    <t>358.937.719.443</t>
  </si>
  <si>
    <t>112.831.025.837</t>
  </si>
  <si>
    <t>0,364</t>
  </si>
  <si>
    <t>105.075.039.881</t>
  </si>
  <si>
    <t>-51.640.299.890</t>
  </si>
  <si>
    <t>3.887</t>
  </si>
  <si>
    <t>870</t>
  </si>
  <si>
    <t>75.593.720.853</t>
  </si>
  <si>
    <t>0.5995</t>
  </si>
  <si>
    <t>0,001</t>
  </si>
  <si>
    <t>32.283.180</t>
  </si>
  <si>
    <t>603.451.707.447</t>
  </si>
  <si>
    <t>594.362.876.099</t>
  </si>
  <si>
    <t>481.412.155.283</t>
  </si>
  <si>
    <t>42.411.356.341</t>
  </si>
  <si>
    <t>26.668.079.720</t>
  </si>
  <si>
    <t>96.889.324.119</t>
  </si>
  <si>
    <t>101.252.213.454</t>
  </si>
  <si>
    <t>350.421.347.493</t>
  </si>
  <si>
    <t>454.275.146.138</t>
  </si>
  <si>
    <t>23.356.768.284</t>
  </si>
  <si>
    <t>66.419.137.529</t>
  </si>
  <si>
    <t>521.737.608.077</t>
  </si>
  <si>
    <t>80.063.400.481</t>
  </si>
  <si>
    <t>353.589.597.980</t>
  </si>
  <si>
    <t>746.419.404.780</t>
  </si>
  <si>
    <t>127.822.557.303</t>
  </si>
  <si>
    <t>79.986.470.788</t>
  </si>
  <si>
    <t>-61.762.807.743</t>
  </si>
  <si>
    <t>-39.229.683.561</t>
  </si>
  <si>
    <t>79.350.966.227</t>
  </si>
  <si>
    <t>346.349.059.175</t>
  </si>
  <si>
    <t>127.483.437.303</t>
  </si>
  <si>
    <t>-0,148</t>
  </si>
  <si>
    <t>104.428.860.449</t>
  </si>
  <si>
    <t>-47.870.103.660</t>
  </si>
  <si>
    <t>1,992</t>
  </si>
  <si>
    <t>816</t>
  </si>
  <si>
    <t>66.230.485.706</t>
  </si>
  <si>
    <t>0.6167</t>
  </si>
  <si>
    <t>0.00078</t>
  </si>
  <si>
    <t>33.897.213</t>
  </si>
  <si>
    <t>773.292.152.622</t>
  </si>
  <si>
    <t>761.888.236.324</t>
  </si>
  <si>
    <t>646.644.764.210</t>
  </si>
  <si>
    <t>50.574.300.672</t>
  </si>
  <si>
    <t>30.428.108.872</t>
  </si>
  <si>
    <t>264.688.651</t>
  </si>
  <si>
    <t>89.655.519.141</t>
  </si>
  <si>
    <t>150.290.366.387</t>
  </si>
  <si>
    <t>466.101.923.504</t>
  </si>
  <si>
    <t>569.965.531.255</t>
  </si>
  <si>
    <t>28.451.159.632</t>
  </si>
  <si>
    <t>62.725.912.610</t>
  </si>
  <si>
    <t>655.145.108.978</t>
  </si>
  <si>
    <t>126.459.790.610</t>
  </si>
  <si>
    <t>395.382.822.316</t>
  </si>
  <si>
    <t>1.165.386.182.940</t>
  </si>
  <si>
    <t>251.261.941.894</t>
  </si>
  <si>
    <t>129.656.041.888</t>
  </si>
  <si>
    <t>-160.744.770.700</t>
  </si>
  <si>
    <t>-140.582.862.457</t>
  </si>
  <si>
    <t>93.488.227.698</t>
  </si>
  <si>
    <t>84.814.450.983</t>
  </si>
  <si>
    <t>406.722.778.680</t>
  </si>
  <si>
    <t>166.242.370.911</t>
  </si>
  <si>
    <t>0,282</t>
  </si>
  <si>
    <t>112.840.859.551</t>
  </si>
  <si>
    <t>-57.788.423.900</t>
  </si>
  <si>
    <t>3,046</t>
  </si>
  <si>
    <t>822</t>
  </si>
  <si>
    <t>70.668.186.488</t>
  </si>
  <si>
    <t>58</t>
  </si>
  <si>
    <t>7</t>
  </si>
  <si>
    <t>CTCP Tập đoàn Hapaco</t>
  </si>
  <si>
    <t>HAP</t>
  </si>
  <si>
    <t>55.471.151</t>
  </si>
  <si>
    <t>334.507.492.025</t>
  </si>
  <si>
    <t>808.116.351.096</t>
  </si>
  <si>
    <t>12.704.685.956</t>
  </si>
  <si>
    <t>36.846.813.074</t>
  </si>
  <si>
    <t>5.722.284.537</t>
  </si>
  <si>
    <t>182.389.055.419</t>
  </si>
  <si>
    <t>264.636.540.217</t>
  </si>
  <si>
    <t>8.595.867.049</t>
  </si>
  <si>
    <t>42.757.267.110</t>
  </si>
  <si>
    <t>320.970.629.017</t>
  </si>
  <si>
    <t>34.066.269.391</t>
  </si>
  <si>
    <t>717.593.247.050</t>
  </si>
  <si>
    <t>286.175.668.009</t>
  </si>
  <si>
    <t>90.523.104.046</t>
  </si>
  <si>
    <t>22.495.854.835</t>
  </si>
  <si>
    <t>60.186.501.291</t>
  </si>
  <si>
    <t>55.358.595.013</t>
  </si>
  <si>
    <t>15.000.000</t>
  </si>
  <si>
    <t>431.550.376.226</t>
  </si>
  <si>
    <t>90.508.104.046</t>
  </si>
  <si>
    <t>-0.11</t>
  </si>
  <si>
    <t>79.463.166.354</t>
  </si>
  <si>
    <t>58.367.444.709</t>
  </si>
  <si>
    <t>497.919.255.007</t>
  </si>
  <si>
    <t>497.669.937.607</t>
  </si>
  <si>
    <t>802.990.455.686</t>
  </si>
  <si>
    <t>25.148.186.054</t>
  </si>
  <si>
    <t>28.308.719.785</t>
  </si>
  <si>
    <t>5.291.558.709</t>
  </si>
  <si>
    <t>287.255.066.917</t>
  </si>
  <si>
    <t>412.479.101.949</t>
  </si>
  <si>
    <t>10.582.287.822</t>
  </si>
  <si>
    <t>61.788.970.630</t>
  </si>
  <si>
    <t>445.969.942.041</t>
  </si>
  <si>
    <t>41.643.368.414</t>
  </si>
  <si>
    <t>725.754.291.933</t>
  </si>
  <si>
    <t>683.792.878.377</t>
  </si>
  <si>
    <t>77.236.163.753</t>
  </si>
  <si>
    <t>-15.810.148.762</t>
  </si>
  <si>
    <t>17.911.856.761</t>
  </si>
  <si>
    <t>15.278.472.401</t>
  </si>
  <si>
    <t>456.148.078.013</t>
  </si>
  <si>
    <t>77.221.163.753</t>
  </si>
  <si>
    <t>0.49</t>
  </si>
  <si>
    <t>88.374.068.205</t>
  </si>
  <si>
    <t>678</t>
  </si>
  <si>
    <t>45.132.591.073</t>
  </si>
  <si>
    <t>110.942.302</t>
  </si>
  <si>
    <t>632.794.475.004</t>
  </si>
  <si>
    <t>632.792.975.004</t>
  </si>
  <si>
    <t>1.325.019.303.064</t>
  </si>
  <si>
    <t>29.680.077.438</t>
  </si>
  <si>
    <t>226.800.366.536</t>
  </si>
  <si>
    <t>4.860.323.895</t>
  </si>
  <si>
    <t>324.834.112.471</t>
  </si>
  <si>
    <t>14.376.616.746</t>
  </si>
  <si>
    <t>71.915.028.078</t>
  </si>
  <si>
    <t>737.699.337.089</t>
  </si>
  <si>
    <t>7.613.760.364</t>
  </si>
  <si>
    <t>1.241.360.993.312</t>
  </si>
  <si>
    <t>432.342.150.894</t>
  </si>
  <si>
    <t>83.658.309.752</t>
  </si>
  <si>
    <t>-21.848.943.708</t>
  </si>
  <si>
    <t>-362.254.143.224</t>
  </si>
  <si>
    <t>137.088.154.390</t>
  </si>
  <si>
    <t>808.492.330.756</t>
  </si>
  <si>
    <t>83.643.309.752</t>
  </si>
  <si>
    <t>0.27</t>
  </si>
  <si>
    <t>103.405.097.687</t>
  </si>
  <si>
    <t>35.689.218.788</t>
  </si>
  <si>
    <t>299.796.286.824</t>
  </si>
  <si>
    <t>299.795.586.824</t>
  </si>
  <si>
    <t>12.357.365.205</t>
  </si>
  <si>
    <t>50.162.142.769</t>
  </si>
  <si>
    <t>184.196.984.505</t>
  </si>
  <si>
    <t>241.429.732.016</t>
  </si>
  <si>
    <t>6.208.034.028</t>
  </si>
  <si>
    <t>304.005.504.801</t>
  </si>
  <si>
    <t>18.310.845.545</t>
  </si>
  <si>
    <t>538.070.164.700</t>
  </si>
  <si>
    <t>-13.319.948.400</t>
  </si>
  <si>
    <t>-3.469.242.283</t>
  </si>
  <si>
    <t>11.187.241.877</t>
  </si>
  <si>
    <t>777.385.166.190</t>
  </si>
  <si>
    <t>-0.53</t>
  </si>
  <si>
    <t>86.327.263.272</t>
  </si>
  <si>
    <t>-62.658.486.203</t>
  </si>
  <si>
    <t>30.457.365.665</t>
  </si>
  <si>
    <t>419.480.097.595</t>
  </si>
  <si>
    <t>1.673.886.442.184</t>
  </si>
  <si>
    <t>14.236.620.386</t>
  </si>
  <si>
    <t>94.929.311.716</t>
  </si>
  <si>
    <t>1.896.261.839</t>
  </si>
  <si>
    <t>149.804.992.202</t>
  </si>
  <si>
    <t>359.730.038.965</t>
  </si>
  <si>
    <t>6.026.665.514</t>
  </si>
  <si>
    <t>59.316.052.404</t>
  </si>
  <si>
    <t>477.199.299.543</t>
  </si>
  <si>
    <t>101.815.298.152</t>
  </si>
  <si>
    <t>1.447.433.324.143</t>
  </si>
  <si>
    <t>494.802.666.920</t>
  </si>
  <si>
    <t>226.453.118.041</t>
  </si>
  <si>
    <t>526.270.296.966</t>
  </si>
  <si>
    <t>-6.829.503.685</t>
  </si>
  <si>
    <t>17.297.445.823</t>
  </si>
  <si>
    <t>390.489.477.580</t>
  </si>
  <si>
    <t>130.773.924.209</t>
  </si>
  <si>
    <t>0.40</t>
  </si>
  <si>
    <t>81.611.740.987</t>
  </si>
  <si>
    <t>859</t>
  </si>
  <si>
    <t>8</t>
  </si>
  <si>
    <t>CTCP Bao bì Biên Hòa</t>
  </si>
  <si>
    <t>MCP</t>
  </si>
  <si>
    <t>Sản xuất nguyên vật liệu</t>
  </si>
  <si>
    <t>0.0019</t>
  </si>
  <si>
    <t>1.54</t>
  </si>
  <si>
    <t>0.25</t>
  </si>
  <si>
    <t>-0.37</t>
  </si>
  <si>
    <t>0.0017</t>
  </si>
  <si>
    <t>0.19</t>
  </si>
  <si>
    <t>0.14</t>
  </si>
  <si>
    <t>0.0016</t>
  </si>
  <si>
    <t>37.061.066.82</t>
  </si>
  <si>
    <t>-0.04</t>
  </si>
  <si>
    <t>0.18</t>
  </si>
  <si>
    <t>0.59</t>
  </si>
  <si>
    <t>-0.05</t>
  </si>
  <si>
    <t>9</t>
  </si>
  <si>
    <t>CTCP Đầu tư và Phát triển Đa Quốc Gia I.D.I</t>
  </si>
  <si>
    <t>IDI</t>
  </si>
  <si>
    <t xml:space="preserve">Chế biến thực phẩm </t>
  </si>
  <si>
    <t>0.0558</t>
  </si>
  <si>
    <t>0.0000</t>
  </si>
  <si>
    <t>0.5193</t>
  </si>
  <si>
    <t>0.0055</t>
  </si>
  <si>
    <t>6.037.869.256.898</t>
  </si>
  <si>
    <t>N.A</t>
  </si>
  <si>
    <t>-0.1766</t>
  </si>
  <si>
    <t>0.5123</t>
  </si>
  <si>
    <t>0.0046</t>
  </si>
  <si>
    <t>4.929.531.940.510</t>
  </si>
  <si>
    <t>-0.1018</t>
  </si>
  <si>
    <t>0.5243</t>
  </si>
  <si>
    <t>0.0072</t>
  </si>
  <si>
    <t>7.092.754.005.517</t>
  </si>
  <si>
    <t>5.449.762.497.93</t>
  </si>
  <si>
    <t>0.3868</t>
  </si>
  <si>
    <t>0.5342</t>
  </si>
  <si>
    <t>0.0176</t>
  </si>
  <si>
    <t>6.732.951.625.458</t>
  </si>
  <si>
    <t>-0.0895</t>
  </si>
  <si>
    <t>0.5187</t>
  </si>
  <si>
    <t>0.0081</t>
  </si>
  <si>
    <t>6.230.536.311.011</t>
  </si>
  <si>
    <t>-0.0116</t>
  </si>
  <si>
    <t>10</t>
  </si>
  <si>
    <t>CTCP Xi măng Vicem Hải Vân</t>
  </si>
  <si>
    <t>LGC</t>
  </si>
  <si>
    <t xml:space="preserve">Xây dựng và bất động sản </t>
  </si>
  <si>
    <t>0.55</t>
  </si>
  <si>
    <t>0.45</t>
  </si>
  <si>
    <t>240.675.230.712</t>
  </si>
  <si>
    <t>-0.01</t>
  </si>
  <si>
    <t>109</t>
  </si>
  <si>
    <t>368.925.649.894</t>
  </si>
  <si>
    <t>0.28</t>
  </si>
  <si>
    <t>98</t>
  </si>
  <si>
    <t>511.043.671.297</t>
  </si>
  <si>
    <t>100</t>
  </si>
  <si>
    <t>515.588.933.951</t>
  </si>
  <si>
    <t>0.52</t>
  </si>
  <si>
    <t>1.693.101.391.386</t>
  </si>
  <si>
    <t>0.57</t>
  </si>
  <si>
    <t>11</t>
  </si>
  <si>
    <t>CTCP Đầu tư và Xây dựng Tiền Giang</t>
  </si>
  <si>
    <t>THG</t>
  </si>
  <si>
    <t xml:space="preserve">Xây dựng và hạ tầng </t>
  </si>
  <si>
    <t>0.06</t>
  </si>
  <si>
    <t>0.01</t>
  </si>
  <si>
    <t>14.519.560</t>
  </si>
  <si>
    <t>1.782.150.004.263</t>
  </si>
  <si>
    <t>1.448.816.074.162</t>
  </si>
  <si>
    <t>170.722.245.656</t>
  </si>
  <si>
    <t>68.010.341.248</t>
  </si>
  <si>
    <t>32.547.390.015</t>
  </si>
  <si>
    <t>413.627.532.509</t>
  </si>
  <si>
    <t>244.896.538.980</t>
  </si>
  <si>
    <t>1.013.172.258.868</t>
  </si>
  <si>
    <t>97.682.340.397</t>
  </si>
  <si>
    <t>252.899.133.737</t>
  </si>
  <si>
    <t>320.784.999.648</t>
  </si>
  <si>
    <t>1.624.986.221.801</t>
  </si>
  <si>
    <t>NULL</t>
  </si>
  <si>
    <t>169.214.595.144</t>
  </si>
  <si>
    <t>493.161.459.452</t>
  </si>
  <si>
    <t>747.757.340.000</t>
  </si>
  <si>
    <t>955.654.614.710</t>
  </si>
  <si>
    <t>225.131.312.031</t>
  </si>
  <si>
    <t>-172.282.545.300</t>
  </si>
  <si>
    <t>-191.493.878.072</t>
  </si>
  <si>
    <t>151.348.941.849</t>
  </si>
  <si>
    <t>225.757.417.928</t>
  </si>
  <si>
    <t>817.487.330.670</t>
  </si>
  <si>
    <t>729.324.656.782</t>
  </si>
  <si>
    <t>0.38</t>
  </si>
  <si>
    <t>373.828.207.774</t>
  </si>
  <si>
    <t>-46.869.878.784</t>
  </si>
  <si>
    <t>11.347</t>
  </si>
  <si>
    <t>659</t>
  </si>
  <si>
    <t>349.761.730.630</t>
  </si>
  <si>
    <t>0.07</t>
  </si>
  <si>
    <t>15.971.306</t>
  </si>
  <si>
    <t>1.318.963.695.310</t>
  </si>
  <si>
    <t>1.555.647.941.070</t>
  </si>
  <si>
    <t>116.196.614.271</t>
  </si>
  <si>
    <t>35.488.766.561</t>
  </si>
  <si>
    <t>31.480.595.583</t>
  </si>
  <si>
    <t>253.554.118.033</t>
  </si>
  <si>
    <t>212.603.022.067</t>
  </si>
  <si>
    <t>807.186.926.133</t>
  </si>
  <si>
    <t>61.136.757.017</t>
  </si>
  <si>
    <t>259.453.929.147</t>
  </si>
  <si>
    <t>175.339.227.456</t>
  </si>
  <si>
    <t>1.195.368.812.755</t>
  </si>
  <si>
    <t>128.538.439.605</t>
  </si>
  <si>
    <t>530.576.950.239</t>
  </si>
  <si>
    <t>1.253.747.521.000</t>
  </si>
  <si>
    <t>1.025.070.990.831</t>
  </si>
  <si>
    <t>101.458.816.217</t>
  </si>
  <si>
    <t>-44.515.303.039</t>
  </si>
  <si>
    <t>-30.997.813.683</t>
  </si>
  <si>
    <t>219.351.429.274</t>
  </si>
  <si>
    <t>243.767.191.662</t>
  </si>
  <si>
    <t>942.363.307.902</t>
  </si>
  <si>
    <t>780.750.759.169</t>
  </si>
  <si>
    <t>-0.26</t>
  </si>
  <si>
    <t>419.787.769.445</t>
  </si>
  <si>
    <t>-74.049.546.000</t>
  </si>
  <si>
    <t>7.922</t>
  </si>
  <si>
    <t>673</t>
  </si>
  <si>
    <t>331.632.834.729</t>
  </si>
  <si>
    <t>0.17</t>
  </si>
  <si>
    <t>19.963.893</t>
  </si>
  <si>
    <t>1.648.053.437.867</t>
  </si>
  <si>
    <t>1.848.583.150.036</t>
  </si>
  <si>
    <t>142.807.690.942</t>
  </si>
  <si>
    <t>47.465.529.433</t>
  </si>
  <si>
    <t>32.316.067.901</t>
  </si>
  <si>
    <t>547.151.492.013</t>
  </si>
  <si>
    <t>226.403.987.487</t>
  </si>
  <si>
    <t>461.509.480</t>
  </si>
  <si>
    <t>23.194.072.966</t>
  </si>
  <si>
    <t>442.080.049.428</t>
  </si>
  <si>
    <t>528.796.388.126</t>
  </si>
  <si>
    <t>558.863.636.815</t>
  </si>
  <si>
    <t>143.908.043.725</t>
  </si>
  <si>
    <t>641.737.093.664</t>
  </si>
  <si>
    <t>782.584.605.600</t>
  </si>
  <si>
    <t>1.206.846.056.372</t>
  </si>
  <si>
    <t>34.288.619.892</t>
  </si>
  <si>
    <t>-52.698.846.154</t>
  </si>
  <si>
    <t>-56.335.878.766</t>
  </si>
  <si>
    <t>221.286.185.107</t>
  </si>
  <si>
    <t>303.167.504.144</t>
  </si>
  <si>
    <t>1.237.599.202.156</t>
  </si>
  <si>
    <t>898.163.536.568</t>
  </si>
  <si>
    <t>628.794.930.719</t>
  </si>
  <si>
    <t>-23.955.634.700</t>
  </si>
  <si>
    <t>6.692</t>
  </si>
  <si>
    <t>663</t>
  </si>
  <si>
    <t>306.643.947.272</t>
  </si>
  <si>
    <t>0.10</t>
  </si>
  <si>
    <t>22.957.896</t>
  </si>
  <si>
    <t>1.669.780.465.317</t>
  </si>
  <si>
    <t>1.852.230.099.332</t>
  </si>
  <si>
    <t>161.087.424.070</t>
  </si>
  <si>
    <t>61.999.600.604</t>
  </si>
  <si>
    <t>33.865.373.682</t>
  </si>
  <si>
    <t>421.129.660.454</t>
  </si>
  <si>
    <t>200.234.177.340</t>
  </si>
  <si>
    <t>647.944.807</t>
  </si>
  <si>
    <t>15.211.534.779</t>
  </si>
  <si>
    <t>497.046.426.936</t>
  </si>
  <si>
    <t>402.935.011.588</t>
  </si>
  <si>
    <t>432.548.707.626</t>
  </si>
  <si>
    <t>118.834.764.309</t>
  </si>
  <si>
    <t>688.474.019.464</t>
  </si>
  <si>
    <t>918.315.840.000</t>
  </si>
  <si>
    <t>1.163.756.079.868</t>
  </si>
  <si>
    <t>93.939.765.518</t>
  </si>
  <si>
    <t>-16.621.112.869</t>
  </si>
  <si>
    <t>-31.942.881.068</t>
  </si>
  <si>
    <t>216.604.276.306</t>
  </si>
  <si>
    <t>169.061.553.542</t>
  </si>
  <si>
    <t>1.312.952.120.171</t>
  </si>
  <si>
    <t>990.639.071.167</t>
  </si>
  <si>
    <t>730.160.294.207</t>
  </si>
  <si>
    <t>-60.391.679.000</t>
  </si>
  <si>
    <t>4.777</t>
  </si>
  <si>
    <t>670</t>
  </si>
  <si>
    <t>271.340.345.330</t>
  </si>
  <si>
    <t>0.146</t>
  </si>
  <si>
    <t>25.941.887</t>
  </si>
  <si>
    <t>1.867.200.093.415</t>
  </si>
  <si>
    <t>2.181.743.482.461</t>
  </si>
  <si>
    <t>195.663.364.106</t>
  </si>
  <si>
    <t>63.516.082.584</t>
  </si>
  <si>
    <t>26.627.471.181</t>
  </si>
  <si>
    <t>357.164.527.171</t>
  </si>
  <si>
    <t>226.956.379.541</t>
  </si>
  <si>
    <t>711.294.640</t>
  </si>
  <si>
    <t>12.809.403.238</t>
  </si>
  <si>
    <t>467.819.246.236</t>
  </si>
  <si>
    <t>335.751.448.849</t>
  </si>
  <si>
    <t>373.467.211.580</t>
  </si>
  <si>
    <t>144.397.103.396</t>
  </si>
  <si>
    <t>731.331.611.049</t>
  </si>
  <si>
    <t>1.169.979.103.700</t>
  </si>
  <si>
    <t>1.450.411.871.412</t>
  </si>
  <si>
    <t>109.211.820.473</t>
  </si>
  <si>
    <t>-41.058.564.924</t>
  </si>
  <si>
    <t>-11.579.713.169</t>
  </si>
  <si>
    <t>298.868.464.516</t>
  </si>
  <si>
    <t>229.998.190.876</t>
  </si>
  <si>
    <t>1.554.502.291.208</t>
  </si>
  <si>
    <t>1.214.926.356.586</t>
  </si>
  <si>
    <t>0.12</t>
  </si>
  <si>
    <t>857.581.215.586</t>
  </si>
  <si>
    <t>-51.369.439.262</t>
  </si>
  <si>
    <t>5.139</t>
  </si>
  <si>
    <t>684</t>
  </si>
  <si>
    <t>294.298.704.732</t>
  </si>
  <si>
    <t>CTCP Chương Dương</t>
  </si>
  <si>
    <t>CDC</t>
  </si>
  <si>
    <t>0,21</t>
  </si>
  <si>
    <t>0,24</t>
  </si>
  <si>
    <t>15.706.406</t>
  </si>
  <si>
    <t>322.270.550.065</t>
  </si>
  <si>
    <t>827.617.955.010</t>
  </si>
  <si>
    <t>62.025.387</t>
  </si>
  <si>
    <t>22.090.454.796</t>
  </si>
  <si>
    <t>32.126.963.633</t>
  </si>
  <si>
    <t>35.150.768.216</t>
  </si>
  <si>
    <t>25.647.355.628</t>
  </si>
  <si>
    <t>248.931.600.713</t>
  </si>
  <si>
    <t>202.169.150.104</t>
  </si>
  <si>
    <t>17.148.756.134</t>
  </si>
  <si>
    <t>318.913.907.551</t>
  </si>
  <si>
    <t>27.820.615.365</t>
  </si>
  <si>
    <t>250.432.216.257</t>
  </si>
  <si>
    <t>218.319.043.400</t>
  </si>
  <si>
    <t>577.185.738.753</t>
  </si>
  <si>
    <t>13.436.712.849</t>
  </si>
  <si>
    <t>-75.000.000</t>
  </si>
  <si>
    <t>15.791.410.802</t>
  </si>
  <si>
    <t>48.935.134.573</t>
  </si>
  <si>
    <t>77.864.886.232</t>
  </si>
  <si>
    <t>743.186.551.538</t>
  </si>
  <si>
    <t>490.398.628.676</t>
  </si>
  <si>
    <t>-0,32</t>
  </si>
  <si>
    <t>205.122.696.016</t>
  </si>
  <si>
    <t>-62.825.624.000</t>
  </si>
  <si>
    <t>1.227</t>
  </si>
  <si>
    <t>90</t>
  </si>
  <si>
    <t>9.651.472.683</t>
  </si>
  <si>
    <t>45</t>
  </si>
  <si>
    <t>0,11</t>
  </si>
  <si>
    <t>0,0149</t>
  </si>
  <si>
    <t>21.988.716</t>
  </si>
  <si>
    <t>769.063.338.995</t>
  </si>
  <si>
    <t>1.287.018.991.211</t>
  </si>
  <si>
    <t>1.927.176.758</t>
  </si>
  <si>
    <t>35.921.160.468</t>
  </si>
  <si>
    <t>66.827.000.000</t>
  </si>
  <si>
    <t>49.339.083.561</t>
  </si>
  <si>
    <t>24.085.587.027</t>
  </si>
  <si>
    <t>27.569.236.634</t>
  </si>
  <si>
    <t>496.632.215.880</t>
  </si>
  <si>
    <t>210.649.010.454</t>
  </si>
  <si>
    <t>190.955.807.531</t>
  </si>
  <si>
    <t>775.746.040.936</t>
  </si>
  <si>
    <t>30.652.671.909</t>
  </si>
  <si>
    <t>311.068.239.311</t>
  </si>
  <si>
    <t>670.655.838.000</t>
  </si>
  <si>
    <t>975.950.751.900</t>
  </si>
  <si>
    <t>-206.110.133.278</t>
  </si>
  <si>
    <t>-13.808.156.534</t>
  </si>
  <si>
    <t>-86.089.784.311</t>
  </si>
  <si>
    <t>25.311.722.545</t>
  </si>
  <si>
    <t>43.453.452.708</t>
  </si>
  <si>
    <t>1.083.605.214.094</t>
  </si>
  <si>
    <t>901.160.357.579</t>
  </si>
  <si>
    <t>1,39</t>
  </si>
  <si>
    <t>218.688.903.616</t>
  </si>
  <si>
    <t>-975.111.083</t>
  </si>
  <si>
    <t>1.351</t>
  </si>
  <si>
    <t>355</t>
  </si>
  <si>
    <t>54.518.668.582</t>
  </si>
  <si>
    <t>46</t>
  </si>
  <si>
    <t>0,07</t>
  </si>
  <si>
    <t>0.0149</t>
  </si>
  <si>
    <t>1.325.835.260.693</t>
  </si>
  <si>
    <t>1.325.252.226.853</t>
  </si>
  <si>
    <t>1.650.432.255.789</t>
  </si>
  <si>
    <t>3.295.361.978</t>
  </si>
  <si>
    <t>47.113.751.711</t>
  </si>
  <si>
    <t>65.106.133.047</t>
  </si>
  <si>
    <t>43.714.952.717</t>
  </si>
  <si>
    <t>-755.885.925</t>
  </si>
  <si>
    <t>101.294.482.964</t>
  </si>
  <si>
    <t>638.965.505.344</t>
  </si>
  <si>
    <t>226.171.501.758</t>
  </si>
  <si>
    <t>469.263.322.582</t>
  </si>
  <si>
    <t>675.163.984.934</t>
  </si>
  <si>
    <t>4.489.610.719</t>
  </si>
  <si>
    <t>321.308.778.598</t>
  </si>
  <si>
    <t>401.294.067.000</t>
  </si>
  <si>
    <t>1.329.123.477.191</t>
  </si>
  <si>
    <t>-152.715.292.946</t>
  </si>
  <si>
    <t>-3.176.826.872</t>
  </si>
  <si>
    <t>52.935.514.212</t>
  </si>
  <si>
    <t>92.839.374.434</t>
  </si>
  <si>
    <t>38.562.095.072</t>
  </si>
  <si>
    <t>1.450.373.116.832</t>
  </si>
  <si>
    <t>1.019.925.873.711</t>
  </si>
  <si>
    <t>0,72</t>
  </si>
  <si>
    <t>243.168.716.619</t>
  </si>
  <si>
    <t>-1.810.392.000</t>
  </si>
  <si>
    <t>166</t>
  </si>
  <si>
    <t>258</t>
  </si>
  <si>
    <t>120.219.735.578</t>
  </si>
  <si>
    <t>47</t>
  </si>
  <si>
    <t>0,03</t>
  </si>
  <si>
    <t>0.0446</t>
  </si>
  <si>
    <t>1.303.709.579.011</t>
  </si>
  <si>
    <t>1.303.709.442.511</t>
  </si>
  <si>
    <t>1.805.882.232.685</t>
  </si>
  <si>
    <t>1.869.547.896</t>
  </si>
  <si>
    <t>40.420.645.149</t>
  </si>
  <si>
    <t>63.385.266.094</t>
  </si>
  <si>
    <t>31.956.326.685</t>
  </si>
  <si>
    <t>30.905.472.947</t>
  </si>
  <si>
    <t>199.819.999.191</t>
  </si>
  <si>
    <t>512.848.660.288</t>
  </si>
  <si>
    <t>379.036.290.901</t>
  </si>
  <si>
    <t>573.349.870.954</t>
  </si>
  <si>
    <t>867.176.395.386</t>
  </si>
  <si>
    <t>10.655.793.482</t>
  </si>
  <si>
    <t>338.314.478.919</t>
  </si>
  <si>
    <t>395.796.888.000</t>
  </si>
  <si>
    <t>1.467.567.753.766</t>
  </si>
  <si>
    <t>-47.615.537.155</t>
  </si>
  <si>
    <t>-8.803.914.359</t>
  </si>
  <si>
    <t>-100.108.072.418</t>
  </si>
  <si>
    <t>121.234.285.956</t>
  </si>
  <si>
    <t>37.124.328.926</t>
  </si>
  <si>
    <t>1.613.192.772.213</t>
  </si>
  <si>
    <t>1.216.344.692.532</t>
  </si>
  <si>
    <t>-0,02</t>
  </si>
  <si>
    <t>382.430.670.682</t>
  </si>
  <si>
    <t>-1.249.900.800</t>
  </si>
  <si>
    <t>389</t>
  </si>
  <si>
    <t>245</t>
  </si>
  <si>
    <t>118.543.560.220</t>
  </si>
  <si>
    <t>48</t>
  </si>
  <si>
    <t>0,0041</t>
  </si>
  <si>
    <t>1.168.778.153.337</t>
  </si>
  <si>
    <t>2.006.032.571.909</t>
  </si>
  <si>
    <t>1.472.197.062</t>
  </si>
  <si>
    <t>38.489.332.004</t>
  </si>
  <si>
    <t>166.844.258.694</t>
  </si>
  <si>
    <t>11.920.153.222</t>
  </si>
  <si>
    <t>201.842.302.651</t>
  </si>
  <si>
    <t>640.732.858.317</t>
  </si>
  <si>
    <t>336.397.263.587</t>
  </si>
  <si>
    <t>133.876.928.525</t>
  </si>
  <si>
    <t>445.186.583.774</t>
  </si>
  <si>
    <t>23.325.502.666</t>
  </si>
  <si>
    <t>456.518.640.345</t>
  </si>
  <si>
    <t>374.907.607.800</t>
  </si>
  <si>
    <t>1.549.513.931.564</t>
  </si>
  <si>
    <t>-34.412.175.045</t>
  </si>
  <si>
    <t>-469.217.273</t>
  </si>
  <si>
    <t>-97.540.633.616</t>
  </si>
  <si>
    <t>23.693.652.340</t>
  </si>
  <si>
    <t>184.170.857.773</t>
  </si>
  <si>
    <t>1.606.697.004.677</t>
  </si>
  <si>
    <t>1.176.618.475.106</t>
  </si>
  <si>
    <t>-0,10</t>
  </si>
  <si>
    <t>337.990.318.787</t>
  </si>
  <si>
    <t>-4.633.873.200</t>
  </si>
  <si>
    <t>1.094</t>
  </si>
  <si>
    <t>261</t>
  </si>
  <si>
    <t>7.519.188.110</t>
  </si>
  <si>
    <t>49</t>
  </si>
  <si>
    <t>CTCP Đầu tư và Xây dựng Thủy lợi Lâm Đồng</t>
  </si>
  <si>
    <t>LHC</t>
  </si>
  <si>
    <t>0.22</t>
  </si>
  <si>
    <t>7.200.000</t>
  </si>
  <si>
    <t>867.260.334.762</t>
  </si>
  <si>
    <t>866.888.005.671</t>
  </si>
  <si>
    <t>733.550.458.879</t>
  </si>
  <si>
    <t>76.523.434.172</t>
  </si>
  <si>
    <t>27.810.055.496</t>
  </si>
  <si>
    <t>164.647.948.989</t>
  </si>
  <si>
    <t>342.502.720.909</t>
  </si>
  <si>
    <t>19.233.135.418</t>
  </si>
  <si>
    <t>199.846.019.735</t>
  </si>
  <si>
    <t>761.881.277.447</t>
  </si>
  <si>
    <t>90.687.996.238</t>
  </si>
  <si>
    <t>474.778.384.192</t>
  </si>
  <si>
    <t>385.200.000.000</t>
  </si>
  <si>
    <t>258.772.074.687</t>
  </si>
  <si>
    <t>153.950.482.649</t>
  </si>
  <si>
    <t>-90.687.451.816</t>
  </si>
  <si>
    <t>-87.078.909.966</t>
  </si>
  <si>
    <t>148.330.806.947</t>
  </si>
  <si>
    <t>397.423.318.912</t>
  </si>
  <si>
    <t>253.563.478.953</t>
  </si>
  <si>
    <t>68.971.122.954</t>
  </si>
  <si>
    <t>-29.934.332.793</t>
  </si>
  <si>
    <t>8.476</t>
  </si>
  <si>
    <t>303.644.763.492</t>
  </si>
  <si>
    <t>1.055.441.387.175</t>
  </si>
  <si>
    <t>1.054.939.540.593</t>
  </si>
  <si>
    <t>910.909.405.950</t>
  </si>
  <si>
    <t>100.353.310.091</t>
  </si>
  <si>
    <t>40.114.754.346</t>
  </si>
  <si>
    <t>175.568.847.097</t>
  </si>
  <si>
    <t>529.841.246.018</t>
  </si>
  <si>
    <t>29.594.296.412</t>
  </si>
  <si>
    <t>150.948.718.131</t>
  </si>
  <si>
    <t>969.965.317.169</t>
  </si>
  <si>
    <t>89.264.822.936</t>
  </si>
  <si>
    <t>518.801.313.250</t>
  </si>
  <si>
    <t>763.200.000.000</t>
  </si>
  <si>
    <t>392.108.092.700</t>
  </si>
  <si>
    <t>-151.841.206.235</t>
  </si>
  <si>
    <t>-129.883.075.971</t>
  </si>
  <si>
    <t>-191.033.722.994</t>
  </si>
  <si>
    <t>191.330.991.296</t>
  </si>
  <si>
    <t>15.050.000.000</t>
  </si>
  <si>
    <t>503.504.504.319</t>
  </si>
  <si>
    <t>375.254.012.378</t>
  </si>
  <si>
    <t>96.339.827.518</t>
  </si>
  <si>
    <t>-43.204.910.000</t>
  </si>
  <si>
    <t>8.216</t>
  </si>
  <si>
    <t>328.751.209.916</t>
  </si>
  <si>
    <t>0.03</t>
  </si>
  <si>
    <t>14.400.000</t>
  </si>
  <si>
    <t>1.416.508.809.812</t>
  </si>
  <si>
    <t>1.030.890.000.000</t>
  </si>
  <si>
    <t>131.481.655.768</t>
  </si>
  <si>
    <t>23.069.091.474</t>
  </si>
  <si>
    <t>223.279.907.336</t>
  </si>
  <si>
    <t>729.665.205.113</t>
  </si>
  <si>
    <t>30.916.462.096</t>
  </si>
  <si>
    <t>208.782.654.514</t>
  </si>
  <si>
    <t>1.288.045.687.415</t>
  </si>
  <si>
    <t>116.800.486.967</t>
  </si>
  <si>
    <t>612.643.000.000</t>
  </si>
  <si>
    <t>804.960.000.000</t>
  </si>
  <si>
    <t>418.247.000.000</t>
  </si>
  <si>
    <t>11.807.839.963</t>
  </si>
  <si>
    <t>-136.247.323.417</t>
  </si>
  <si>
    <t>-128.420.150.444</t>
  </si>
  <si>
    <t>174.393.942.334</t>
  </si>
  <si>
    <t>558.019.000.000</t>
  </si>
  <si>
    <t>412.851.000.000</t>
  </si>
  <si>
    <t>0.34</t>
  </si>
  <si>
    <t>143.268.646.485</t>
  </si>
  <si>
    <t>-49.334.201.200</t>
  </si>
  <si>
    <t>8.460</t>
  </si>
  <si>
    <t>333.819.244.946</t>
  </si>
  <si>
    <t>1.119.808.512.341</t>
  </si>
  <si>
    <t>1.119.271.133.177</t>
  </si>
  <si>
    <t>1.098.510.172.732</t>
  </si>
  <si>
    <t>119.001.622.748</t>
  </si>
  <si>
    <t>17.003.142.584</t>
  </si>
  <si>
    <t>239.387.662.114</t>
  </si>
  <si>
    <t>471.190.638.957</t>
  </si>
  <si>
    <t>161.010.360.301</t>
  </si>
  <si>
    <t>957.846.612.202</t>
  </si>
  <si>
    <t>126.274.753.220</t>
  </si>
  <si>
    <t>689.583.537.450</t>
  </si>
  <si>
    <t>757.440.000.000</t>
  </si>
  <si>
    <t>408.926.635.282</t>
  </si>
  <si>
    <t>209.120.175.161</t>
  </si>
  <si>
    <t>-194.064.534.289</t>
  </si>
  <si>
    <t>-180.348.008.085</t>
  </si>
  <si>
    <t>197.316.312.274</t>
  </si>
  <si>
    <t>660.825.539.644</t>
  </si>
  <si>
    <t>364.538.000.000</t>
  </si>
  <si>
    <t>-0.21</t>
  </si>
  <si>
    <t>141.717.841.616</t>
  </si>
  <si>
    <t>5.651</t>
  </si>
  <si>
    <t>23</t>
  </si>
  <si>
    <t>0.15</t>
  </si>
  <si>
    <t>1.206.792.016.202</t>
  </si>
  <si>
    <t>1.204.783.581.903</t>
  </si>
  <si>
    <t>1.196.612.481.770</t>
  </si>
  <si>
    <t>95.468.972.672</t>
  </si>
  <si>
    <t>203.084.552.401</t>
  </si>
  <si>
    <t>522.617.775.745</t>
  </si>
  <si>
    <t>43.503.111.859</t>
  </si>
  <si>
    <t>252.363.693.534</t>
  </si>
  <si>
    <t>1.079.957.867.474</t>
  </si>
  <si>
    <t>116.936.293.805</t>
  </si>
  <si>
    <t>746.193.716.730</t>
  </si>
  <si>
    <t>1.039.680.000.000</t>
  </si>
  <si>
    <t>450.418.765.040</t>
  </si>
  <si>
    <t>309.009.352.682</t>
  </si>
  <si>
    <t>-276.401.832.883</t>
  </si>
  <si>
    <t>-218.998.465.885</t>
  </si>
  <si>
    <t>273.024.811.700</t>
  </si>
  <si>
    <t>32.259.000.000</t>
  </si>
  <si>
    <t>607.500.864.584</t>
  </si>
  <si>
    <t>418.160.000.000</t>
  </si>
  <si>
    <t>0.08</t>
  </si>
  <si>
    <t>143.920.667.536</t>
  </si>
  <si>
    <t>-60.746.098.000</t>
  </si>
  <si>
    <t>4.650</t>
  </si>
  <si>
    <t>52</t>
  </si>
  <si>
    <t>355.304.531.029</t>
  </si>
  <si>
    <t>24</t>
  </si>
  <si>
    <t>CTCP Licogi 16</t>
  </si>
  <si>
    <t>LCG</t>
  </si>
  <si>
    <t>0.2038</t>
  </si>
  <si>
    <t>0.1907</t>
  </si>
  <si>
    <t>0.0321</t>
  </si>
  <si>
    <t>117.248.510</t>
  </si>
  <si>
    <t>3.536.254.793.538</t>
  </si>
  <si>
    <t>6.132.492.672.781</t>
  </si>
  <si>
    <t>7.782.720.007</t>
  </si>
  <si>
    <t>159.691.422.387</t>
  </si>
  <si>
    <t>394.270.897</t>
  </si>
  <si>
    <t>105.987.617.858</t>
  </si>
  <si>
    <t>440.786.538.417</t>
  </si>
  <si>
    <t>704.000.000</t>
  </si>
  <si>
    <t>420.951.355.142</t>
  </si>
  <si>
    <t>664.518.548.541</t>
  </si>
  <si>
    <t>2.980.345.011.071</t>
  </si>
  <si>
    <t>119.204.302.363</t>
  </si>
  <si>
    <t>311.718.851.697</t>
  </si>
  <si>
    <t>1.846.383.206.894</t>
  </si>
  <si>
    <t>1.541.817.906.500</t>
  </si>
  <si>
    <t>4.286.109.465.887</t>
  </si>
  <si>
    <t>484.838.381.938</t>
  </si>
  <si>
    <t>445.121.164.063</t>
  </si>
  <si>
    <t>500.195.020.885</t>
  </si>
  <si>
    <t>242.176.851.079</t>
  </si>
  <si>
    <t>731.794.455.450</t>
  </si>
  <si>
    <t>3.980.558.292.219</t>
  </si>
  <si>
    <t>3.446.967.188.013</t>
  </si>
  <si>
    <t>0.39</t>
  </si>
  <si>
    <t>573.907.426.958</t>
  </si>
  <si>
    <t>2.430</t>
  </si>
  <si>
    <t>1.203</t>
  </si>
  <si>
    <t>1.254.529.098.974</t>
  </si>
  <si>
    <t>0.1300</t>
  </si>
  <si>
    <t>0.0244</t>
  </si>
  <si>
    <t>174.404.824</t>
  </si>
  <si>
    <t>1.802.653.972.149</t>
  </si>
  <si>
    <t>5.804.533.486.116</t>
  </si>
  <si>
    <t>16.897.258.501</t>
  </si>
  <si>
    <t>83.701.975.089</t>
  </si>
  <si>
    <t>197.326.616</t>
  </si>
  <si>
    <t>101.654.053.085</t>
  </si>
  <si>
    <t>374.885.860.324</t>
  </si>
  <si>
    <t>257.570.788.873</t>
  </si>
  <si>
    <t>7.427.000.000</t>
  </si>
  <si>
    <t>564.684.347.941</t>
  </si>
  <si>
    <t>1.085.324.291.977</t>
  </si>
  <si>
    <t>1.342.141.640.318</t>
  </si>
  <si>
    <t>180.810.348.005</t>
  </si>
  <si>
    <t>2.388.616.876.129</t>
  </si>
  <si>
    <t>3.784.584.680.800</t>
  </si>
  <si>
    <t>3.415.916.609.987</t>
  </si>
  <si>
    <t>319.291.437.493</t>
  </si>
  <si>
    <t>1.511.636.289</t>
  </si>
  <si>
    <t>226.207.294.005</t>
  </si>
  <si>
    <t>256.136.123.821</t>
  </si>
  <si>
    <t>743.250.603.677</t>
  </si>
  <si>
    <t>3.667.580.449.339</t>
  </si>
  <si>
    <t>2.564.472.237.878</t>
  </si>
  <si>
    <t>-0.49</t>
  </si>
  <si>
    <t>836.549.605.500</t>
  </si>
  <si>
    <t>80.673.720.400</t>
  </si>
  <si>
    <t>1.270</t>
  </si>
  <si>
    <t>1.006</t>
  </si>
  <si>
    <t>1.146.859.917.914</t>
  </si>
  <si>
    <t>0.1150</t>
  </si>
  <si>
    <t>0.1014</t>
  </si>
  <si>
    <t>0.0200</t>
  </si>
  <si>
    <t>191.641.170</t>
  </si>
  <si>
    <t>1.005.840.232.313</t>
  </si>
  <si>
    <t>5.047.843.826.481</t>
  </si>
  <si>
    <t>78.998.735.273</t>
  </si>
  <si>
    <t>50.031.616</t>
  </si>
  <si>
    <t>99.188.962.550</t>
  </si>
  <si>
    <t>355.840.205.154</t>
  </si>
  <si>
    <t>434.815.637.604</t>
  </si>
  <si>
    <t>35.163.432.153</t>
  </si>
  <si>
    <t>919.005.181.897</t>
  </si>
  <si>
    <t>1.097.078.079.547</t>
  </si>
  <si>
    <t>1.857.427.044.935</t>
  </si>
  <si>
    <t>194.287.025.000</t>
  </si>
  <si>
    <t>2.583.007.776.888</t>
  </si>
  <si>
    <t>1.397.064.129.300</t>
  </si>
  <si>
    <t>2.464.836.049.593</t>
  </si>
  <si>
    <t>924.070.697.367</t>
  </si>
  <si>
    <t>20.761.091.601</t>
  </si>
  <si>
    <t>663.186.136.647</t>
  </si>
  <si>
    <t>100.866.753.630</t>
  </si>
  <si>
    <t>73.284.272.746</t>
  </si>
  <si>
    <t>3.869.585.657.302</t>
  </si>
  <si>
    <t>2.280.442.537.100</t>
  </si>
  <si>
    <t>-0.44</t>
  </si>
  <si>
    <t>1.183.591.699.927</t>
  </si>
  <si>
    <t>3.993.325</t>
  </si>
  <si>
    <t>962</t>
  </si>
  <si>
    <t>391</t>
  </si>
  <si>
    <t>130.598.375.532</t>
  </si>
  <si>
    <t>0.0877</t>
  </si>
  <si>
    <t>0.0230</t>
  </si>
  <si>
    <t>0,0203</t>
  </si>
  <si>
    <t>1.910.175.701.529</t>
  </si>
  <si>
    <t>5.979.135.351.215</t>
  </si>
  <si>
    <t>86.628.261.086</t>
  </si>
  <si>
    <t>170.648.750.165</t>
  </si>
  <si>
    <t>246.124.262.517</t>
  </si>
  <si>
    <t>920.936.837.319</t>
  </si>
  <si>
    <t>171.951.677.460</t>
  </si>
  <si>
    <t>1.424.892.900.796</t>
  </si>
  <si>
    <t>814.617.698.414</t>
  </si>
  <si>
    <t>2.353.969.177.651</t>
  </si>
  <si>
    <t>114.355.940.199</t>
  </si>
  <si>
    <t>2.537.896.507.223</t>
  </si>
  <si>
    <t>2.338.022.274.000</t>
  </si>
  <si>
    <t>3.441.238.843.992</t>
  </si>
  <si>
    <t>726.750.668.240</t>
  </si>
  <si>
    <t>14.239.786.886</t>
  </si>
  <si>
    <t>38.761.204.958</t>
  </si>
  <si>
    <t>731.958.407.866</t>
  </si>
  <si>
    <t>151.904.397.901</t>
  </si>
  <si>
    <t>4.819.620.232.177</t>
  </si>
  <si>
    <t>3.287.661.160.726</t>
  </si>
  <si>
    <t>0.90</t>
  </si>
  <si>
    <t>1.491.707.393.429</t>
  </si>
  <si>
    <t>132.748.582.400</t>
  </si>
  <si>
    <t>519</t>
  </si>
  <si>
    <t>557</t>
  </si>
  <si>
    <t>387.393.580.722</t>
  </si>
  <si>
    <t>0.0861</t>
  </si>
  <si>
    <t>0.0073</t>
  </si>
  <si>
    <t>0.0107</t>
  </si>
  <si>
    <t>195.091.170</t>
  </si>
  <si>
    <t>2.795.461.752.970</t>
  </si>
  <si>
    <t>6.019.865.872.228</t>
  </si>
  <si>
    <t>145.785.400.136</t>
  </si>
  <si>
    <t>10.254.240.000</t>
  </si>
  <si>
    <t>147.617.245.619</t>
  </si>
  <si>
    <t>287.332.613.799</t>
  </si>
  <si>
    <t>2.274.217.131.481</t>
  </si>
  <si>
    <t>72.577.086.059</t>
  </si>
  <si>
    <t>1.927.806.843.291</t>
  </si>
  <si>
    <t>897.191.012.853</t>
  </si>
  <si>
    <t>3.516.031.472.905</t>
  </si>
  <si>
    <t>120.149.449.192</t>
  </si>
  <si>
    <t>2.590.608.809.353</t>
  </si>
  <si>
    <t>2.019.193.609.500</t>
  </si>
  <si>
    <t>3.429.257.062.875</t>
  </si>
  <si>
    <t>158.298.236.170</t>
  </si>
  <si>
    <t>13.634.309.960</t>
  </si>
  <si>
    <t>234.299.130.970</t>
  </si>
  <si>
    <t>359.580.486.996</t>
  </si>
  <si>
    <t>282.933.038.574</t>
  </si>
  <si>
    <t>4.607.206.287.431</t>
  </si>
  <si>
    <t>3.146.324.024.301</t>
  </si>
  <si>
    <t>0.46</t>
  </si>
  <si>
    <t>2.055.564.927.611</t>
  </si>
  <si>
    <t>96.733.903.498</t>
  </si>
  <si>
    <t>672</t>
  </si>
  <si>
    <t>447.185.433.801</t>
  </si>
  <si>
    <t>CTCP Tư vấn Xây dựng Điện 2</t>
  </si>
  <si>
    <t>TV2</t>
  </si>
  <si>
    <t>0.0121</t>
  </si>
  <si>
    <t>0.5133</t>
  </si>
  <si>
    <t>0.5720</t>
  </si>
  <si>
    <t>0.0825</t>
  </si>
  <si>
    <t>36.014.952</t>
  </si>
  <si>
    <t>3.346.394.846.990</t>
  </si>
  <si>
    <t>3.336.016.514.830</t>
  </si>
  <si>
    <t>30.754.910.102</t>
  </si>
  <si>
    <t>126.152.894.491</t>
  </si>
  <si>
    <t>158.263.592.790</t>
  </si>
  <si>
    <t>1.951.752.139.301</t>
  </si>
  <si>
    <t>349.173.977.757</t>
  </si>
  <si>
    <t>191.819.313.671</t>
  </si>
  <si>
    <t>1.286.837.120</t>
  </si>
  <si>
    <t>132.723.662.590</t>
  </si>
  <si>
    <t>1.729.252.664.006</t>
  </si>
  <si>
    <t>2.644.858.044.305</t>
  </si>
  <si>
    <t>740.360.372</t>
  </si>
  <si>
    <t>262.198.864.970</t>
  </si>
  <si>
    <t>1.167.264.926.456</t>
  </si>
  <si>
    <t>1.339.756.214.400</t>
  </si>
  <si>
    <t>2.168.751.588.374</t>
  </si>
  <si>
    <t>501.516.431.192</t>
  </si>
  <si>
    <t>-144.219.555.759</t>
  </si>
  <si>
    <t>-324.741.590.171</t>
  </si>
  <si>
    <t>302.027.563.394</t>
  </si>
  <si>
    <t>17.329.235.568</t>
  </si>
  <si>
    <t>2.705.270.497.902</t>
  </si>
  <si>
    <t>1.706.152.857.849</t>
  </si>
  <si>
    <t>0.0075</t>
  </si>
  <si>
    <t>162.896.911.682</t>
  </si>
  <si>
    <t>-74.165.000.000</t>
  </si>
  <si>
    <t>7.280</t>
  </si>
  <si>
    <t>983</t>
  </si>
  <si>
    <t>192.525.602.681</t>
  </si>
  <si>
    <t>0.0090</t>
  </si>
  <si>
    <t>0.5808</t>
  </si>
  <si>
    <t>0.0633</t>
  </si>
  <si>
    <t>45.018.141</t>
  </si>
  <si>
    <t>3.629.140.570.492</t>
  </si>
  <si>
    <t>4.465.745.204.205</t>
  </si>
  <si>
    <t>85.343.775.106</t>
  </si>
  <si>
    <t>135.128.791.645</t>
  </si>
  <si>
    <t>148.899.847.529</t>
  </si>
  <si>
    <t>2.696.391.014.545</t>
  </si>
  <si>
    <t>379.821.767.029</t>
  </si>
  <si>
    <t>161.155.814.771</t>
  </si>
  <si>
    <t>661.928.193</t>
  </si>
  <si>
    <t>254.081.974.549</t>
  </si>
  <si>
    <t>2.845.371.416.766</t>
  </si>
  <si>
    <t>3.469.222.895.756</t>
  </si>
  <si>
    <t>430.443.772</t>
  </si>
  <si>
    <t>271.756.448.849</t>
  </si>
  <si>
    <t>1.376.161.295.411</t>
  </si>
  <si>
    <t>1.582.387.656.150</t>
  </si>
  <si>
    <t>3.089.533.383.397</t>
  </si>
  <si>
    <t>-272.873.180.034</t>
  </si>
  <si>
    <t>-80.248.659.170</t>
  </si>
  <si>
    <t>245.172.763.324</t>
  </si>
  <si>
    <t>319.646.400.604</t>
  </si>
  <si>
    <t>3.614.355.908.113</t>
  </si>
  <si>
    <t>3.039.343.389.632</t>
  </si>
  <si>
    <t>0.0845</t>
  </si>
  <si>
    <t>300.274.847.039</t>
  </si>
  <si>
    <t>-35.226.385.900</t>
  </si>
  <si>
    <t>6.037</t>
  </si>
  <si>
    <t>1.153</t>
  </si>
  <si>
    <t>295.210.084.194</t>
  </si>
  <si>
    <t>0.0068</t>
  </si>
  <si>
    <t>0.5889</t>
  </si>
  <si>
    <t>0.1461</t>
  </si>
  <si>
    <t>67.526.165</t>
  </si>
  <si>
    <t>1.322.050.620.541</t>
  </si>
  <si>
    <t>2.988.754.675.229</t>
  </si>
  <si>
    <t>19.952.772.095</t>
  </si>
  <si>
    <t>149.244.822.412</t>
  </si>
  <si>
    <t>142.564.565.548</t>
  </si>
  <si>
    <t>685.961.705.968</t>
  </si>
  <si>
    <t>91.141.641.250</t>
  </si>
  <si>
    <t>91.324.380.252</t>
  </si>
  <si>
    <t>1.641.911.146</t>
  </si>
  <si>
    <t>74.659.737.392</t>
  </si>
  <si>
    <t>533.602.663.571</t>
  </si>
  <si>
    <t>1.086.038.540.714</t>
  </si>
  <si>
    <t>141.443.772</t>
  </si>
  <si>
    <t>52.886.514.290</t>
  </si>
  <si>
    <t>1.356.309.549.213</t>
  </si>
  <si>
    <t>2.306.018.534.750</t>
  </si>
  <si>
    <t>1.632.445.126.016</t>
  </si>
  <si>
    <t>11.219.506.063</t>
  </si>
  <si>
    <t>-34.473.198.556</t>
  </si>
  <si>
    <t>-54.276.940.912</t>
  </si>
  <si>
    <t>198.299.196.901</t>
  </si>
  <si>
    <t>2.098.129.113.741</t>
  </si>
  <si>
    <t>1.595.899.189.785</t>
  </si>
  <si>
    <t>-0.6357</t>
  </si>
  <si>
    <t>83.958.011.477</t>
  </si>
  <si>
    <t>-44.874.869.000</t>
  </si>
  <si>
    <t>662</t>
  </si>
  <si>
    <t>1.081</t>
  </si>
  <si>
    <t>443.190.368.219</t>
  </si>
  <si>
    <t>0.5473</t>
  </si>
  <si>
    <t>0.1236</t>
  </si>
  <si>
    <t>1.061.339.545.659</t>
  </si>
  <si>
    <t>2.461.045.530.310</t>
  </si>
  <si>
    <t>1.731.306.963</t>
  </si>
  <si>
    <t>136.607.451.639</t>
  </si>
  <si>
    <t>139.374.361.061</t>
  </si>
  <si>
    <t>514.600.969.754</t>
  </si>
  <si>
    <t>111.513.300.635</t>
  </si>
  <si>
    <t>68.076.531.577</t>
  </si>
  <si>
    <t>368.616.881</t>
  </si>
  <si>
    <t>57.620.294.321</t>
  </si>
  <si>
    <t>362.064.569.914</t>
  </si>
  <si>
    <t>973.493.053.715</t>
  </si>
  <si>
    <t>53.146.020.662</t>
  </si>
  <si>
    <t>1.333.729.682.731</t>
  </si>
  <si>
    <t>2.552.489.037.000</t>
  </si>
  <si>
    <t>1.127.315.847.579</t>
  </si>
  <si>
    <t>-149.706.398.392</t>
  </si>
  <si>
    <t>-20.544.575.231</t>
  </si>
  <si>
    <t>-9.520.110.512</t>
  </si>
  <si>
    <t>127.329.031.923</t>
  </si>
  <si>
    <t>1.609.922.985.563</t>
  </si>
  <si>
    <t>1.086.718.507.736</t>
  </si>
  <si>
    <t>-0.1972</t>
  </si>
  <si>
    <t>72.386.965.450</t>
  </si>
  <si>
    <t>-68.825.600</t>
  </si>
  <si>
    <t>787</t>
  </si>
  <si>
    <t>444.540.426.031</t>
  </si>
  <si>
    <t>0.0069</t>
  </si>
  <si>
    <t>0.5271</t>
  </si>
  <si>
    <t>0.0894</t>
  </si>
  <si>
    <t>1.336.237.832.457</t>
  </si>
  <si>
    <t>2.172.504.098.296</t>
  </si>
  <si>
    <t>19.733.628.845</t>
  </si>
  <si>
    <t>112.390.220.463</t>
  </si>
  <si>
    <t>137.466.601.183</t>
  </si>
  <si>
    <t>126.197.020.606</t>
  </si>
  <si>
    <t>155.964.470.035</t>
  </si>
  <si>
    <t>64.670.405.839</t>
  </si>
  <si>
    <t>1.309.010.676.570</t>
  </si>
  <si>
    <t>2.255.373.911.000</t>
  </si>
  <si>
    <t>863.493.421.726</t>
  </si>
  <si>
    <t>193.061.889.319</t>
  </si>
  <si>
    <t>-21.303.642.681</t>
  </si>
  <si>
    <t>11.041.464.847</t>
  </si>
  <si>
    <t>199.941.912.365</t>
  </si>
  <si>
    <t>1.558.376.028</t>
  </si>
  <si>
    <t>1.331.536.969.066</t>
  </si>
  <si>
    <t>836.188.931.219</t>
  </si>
  <si>
    <t>0.2590</t>
  </si>
  <si>
    <t>958</t>
  </si>
  <si>
    <t>1.309</t>
  </si>
  <si>
    <t>290.977.761.410</t>
  </si>
  <si>
    <t>CTCP Đại lý Giao nhận Vận tải Xếp dỡ Tân Cảng</t>
  </si>
  <si>
    <t>TCL</t>
  </si>
  <si>
    <t xml:space="preserve">Logistics </t>
  </si>
  <si>
    <t>0.766</t>
  </si>
  <si>
    <t>N/A</t>
  </si>
  <si>
    <t>557.116.788.228</t>
  </si>
  <si>
    <t>902.551.514.172</t>
  </si>
  <si>
    <t>0.002</t>
  </si>
  <si>
    <t>805.411.191.816</t>
  </si>
  <si>
    <t>1.003.160.056.668</t>
  </si>
  <si>
    <t>991.820.484.772</t>
  </si>
  <si>
    <t>CTCP ICD Tân Cảng Long Bình</t>
  </si>
  <si>
    <t>ILB</t>
  </si>
  <si>
    <t>Logistics</t>
  </si>
  <si>
    <t>24.502.245</t>
  </si>
  <si>
    <t>455.588.881.893</t>
  </si>
  <si>
    <t>1.439.488.491.575</t>
  </si>
  <si>
    <t>2.681.769.294</t>
  </si>
  <si>
    <t>39.027.299.414</t>
  </si>
  <si>
    <t>421.017.499</t>
  </si>
  <si>
    <t>179.666.545.350</t>
  </si>
  <si>
    <t>297.684.533.498</t>
  </si>
  <si>
    <t>69.268.439.101</t>
  </si>
  <si>
    <t>442.807.688.399</t>
  </si>
  <si>
    <t>400.072.656.360</t>
  </si>
  <si>
    <t>996.680.803.176</t>
  </si>
  <si>
    <t>192.876.758.988</t>
  </si>
  <si>
    <t>147.227.635.195</t>
  </si>
  <si>
    <t>298.155.559.940</t>
  </si>
  <si>
    <t>261.402.477.395</t>
  </si>
  <si>
    <t>307.558.633.897</t>
  </si>
  <si>
    <t>-39.285.346.870</t>
  </si>
  <si>
    <t>2.098</t>
  </si>
  <si>
    <t>336</t>
  </si>
  <si>
    <t>773.742.495.137</t>
  </si>
  <si>
    <t>529.893.731.578</t>
  </si>
  <si>
    <t>1.418.278.728.294</t>
  </si>
  <si>
    <t>3.833.224.798</t>
  </si>
  <si>
    <t>42.871.842.160</t>
  </si>
  <si>
    <t>183.580.968.019</t>
  </si>
  <si>
    <t>3.442.020.173</t>
  </si>
  <si>
    <t>272.449.651.266</t>
  </si>
  <si>
    <t>362.441.173.973</t>
  </si>
  <si>
    <t>76.916.917.208</t>
  </si>
  <si>
    <t>472.212.108.055</t>
  </si>
  <si>
    <t>514.326.624.795</t>
  </si>
  <si>
    <t>946.066.620.239</t>
  </si>
  <si>
    <t>173.054.911.732</t>
  </si>
  <si>
    <t>101.381.643.136</t>
  </si>
  <si>
    <t>237.892.174.895</t>
  </si>
  <si>
    <t>317.065.093.696</t>
  </si>
  <si>
    <t>292.989.694.647</t>
  </si>
  <si>
    <t>-37.627.518.280</t>
  </si>
  <si>
    <t>2.443</t>
  </si>
  <si>
    <t>326</t>
  </si>
  <si>
    <t>714.132.033.120</t>
  </si>
  <si>
    <t>582.987.385.530</t>
  </si>
  <si>
    <t>1.560.772.469.480</t>
  </si>
  <si>
    <t>3.980.844.553</t>
  </si>
  <si>
    <t>55.575.760.731</t>
  </si>
  <si>
    <t>430.362.824</t>
  </si>
  <si>
    <t>215.720.674.838</t>
  </si>
  <si>
    <t>380.785.826.360</t>
  </si>
  <si>
    <t>96.673.096.181</t>
  </si>
  <si>
    <t>514.823.810.122</t>
  </si>
  <si>
    <t>408.966.971.295</t>
  </si>
  <si>
    <t>1.045.948.659.358</t>
  </si>
  <si>
    <t>127.359.840.396</t>
  </si>
  <si>
    <t>135.858.000.075</t>
  </si>
  <si>
    <t>278.505.182.591</t>
  </si>
  <si>
    <t>277.157.489.922</t>
  </si>
  <si>
    <t>372.855.256.597</t>
  </si>
  <si>
    <t>-39.580.666.005</t>
  </si>
  <si>
    <t>2.962</t>
  </si>
  <si>
    <t>346</t>
  </si>
  <si>
    <t>881.866.660.085</t>
  </si>
  <si>
    <t>531.536.473.621</t>
  </si>
  <si>
    <t>1.586.187.067.920</t>
  </si>
  <si>
    <t>3.780.201.033</t>
  </si>
  <si>
    <t>57.881.449.156</t>
  </si>
  <si>
    <t>31.763.885</t>
  </si>
  <si>
    <t>231.879.691.345</t>
  </si>
  <si>
    <t>2.620.990.835</t>
  </si>
  <si>
    <t>200.456.041.578</t>
  </si>
  <si>
    <t>321.116.543.060</t>
  </si>
  <si>
    <t>103.880.095.902</t>
  </si>
  <si>
    <t>553.079.145.336</t>
  </si>
  <si>
    <t>523.686.482.385</t>
  </si>
  <si>
    <t>1.033.107.922.584</t>
  </si>
  <si>
    <t>187.479.781.280</t>
  </si>
  <si>
    <t>204.095.572.047</t>
  </si>
  <si>
    <t>217.635.324.365</t>
  </si>
  <si>
    <t>333.214.234.901</t>
  </si>
  <si>
    <t>429.677.925.076</t>
  </si>
  <si>
    <t>-51.068.917.811</t>
  </si>
  <si>
    <t>3.317</t>
  </si>
  <si>
    <t>344</t>
  </si>
  <si>
    <t>813.716.941.056</t>
  </si>
  <si>
    <t>25.849.492</t>
  </si>
  <si>
    <t>496.165.109.794</t>
  </si>
  <si>
    <t>1.587.216.938.485</t>
  </si>
  <si>
    <t>4.174.983.659</t>
  </si>
  <si>
    <t>46.789.102.055</t>
  </si>
  <si>
    <t>223.242.839.760</t>
  </si>
  <si>
    <t>7.402.602.606</t>
  </si>
  <si>
    <t>192.433.183.716</t>
  </si>
  <si>
    <t>305.905.140.995</t>
  </si>
  <si>
    <t>103.198.027.619</t>
  </si>
  <si>
    <t>575.118.049.255</t>
  </si>
  <si>
    <t>637.131.876.735</t>
  </si>
  <si>
    <t>1.012.098.889.230</t>
  </si>
  <si>
    <t>197.751.092.852</t>
  </si>
  <si>
    <t>248.672.167.549</t>
  </si>
  <si>
    <t>174.313.251.667</t>
  </si>
  <si>
    <t>368.836.155.471</t>
  </si>
  <si>
    <t>474.959.333.724</t>
  </si>
  <si>
    <t>-54.186.685.358</t>
  </si>
  <si>
    <t>3.294</t>
  </si>
  <si>
    <t>323</t>
  </si>
  <si>
    <t>740.557.242.482</t>
  </si>
  <si>
    <t>CTCP Kho vận miền Nam</t>
  </si>
  <si>
    <t>STG</t>
  </si>
  <si>
    <t>0,00087</t>
  </si>
  <si>
    <t>0.9674</t>
  </si>
  <si>
    <t>98.253.357</t>
  </si>
  <si>
    <t>2.032.048.194.975</t>
  </si>
  <si>
    <t>2.031.888.621.327</t>
  </si>
  <si>
    <t>2.339.223.190.974</t>
  </si>
  <si>
    <t>108.675.327.970</t>
  </si>
  <si>
    <t>148.783.931.404</t>
  </si>
  <si>
    <t>58.724.525.680</t>
  </si>
  <si>
    <t>251.613.287.474</t>
  </si>
  <si>
    <t>129.416.609.827</t>
  </si>
  <si>
    <t>121.712.154.118</t>
  </si>
  <si>
    <t>45.356.842.127</t>
  </si>
  <si>
    <t>1.255.819.576.251</t>
  </si>
  <si>
    <t>1.598.558.917.472</t>
  </si>
  <si>
    <t>117.768.618.460</t>
  </si>
  <si>
    <t>1.644.239.298.956</t>
  </si>
  <si>
    <t>1.493.451.026.400</t>
  </si>
  <si>
    <t>694.983.892.018</t>
  </si>
  <si>
    <t>207.837.752.051</t>
  </si>
  <si>
    <t>250.395.300.190</t>
  </si>
  <si>
    <t>129.707.384.821</t>
  </si>
  <si>
    <t>898.182.946.540</t>
  </si>
  <si>
    <t>509.016.436.393</t>
  </si>
  <si>
    <t>59.244.921.385</t>
  </si>
  <si>
    <t>12.601.620.079</t>
  </si>
  <si>
    <t>1.085</t>
  </si>
  <si>
    <t>1.016</t>
  </si>
  <si>
    <t>699.726.752.406</t>
  </si>
  <si>
    <t>2.886.511.605.507</t>
  </si>
  <si>
    <t>2.684.190.804.821</t>
  </si>
  <si>
    <t>91.827.968.500</t>
  </si>
  <si>
    <t>134.173.137.264</t>
  </si>
  <si>
    <t>58.510.876.135</t>
  </si>
  <si>
    <t>421.291.030.203</t>
  </si>
  <si>
    <t>261.341.226.234</t>
  </si>
  <si>
    <t>134.375.705.049</t>
  </si>
  <si>
    <t>90.278.254.151</t>
  </si>
  <si>
    <t>1.973.075.216.466</t>
  </si>
  <si>
    <t>2.398.760.691.738</t>
  </si>
  <si>
    <t>246.646.629.784</t>
  </si>
  <si>
    <t>1.885.029.578.313</t>
  </si>
  <si>
    <t>2.849.347.353.000</t>
  </si>
  <si>
    <t>799.161.226.508</t>
  </si>
  <si>
    <t>259.563.920.968</t>
  </si>
  <si>
    <t>276.311.801.371</t>
  </si>
  <si>
    <t>171.789.222.610</t>
  </si>
  <si>
    <t>996.622.095.792</t>
  </si>
  <si>
    <t>570.655.495.021</t>
  </si>
  <si>
    <t>107.956.613.509</t>
  </si>
  <si>
    <t>10.220.728.576</t>
  </si>
  <si>
    <t>2.369</t>
  </si>
  <si>
    <t>1.178</t>
  </si>
  <si>
    <t>689.279.618.767</t>
  </si>
  <si>
    <t>2.639.254.563.108</t>
  </si>
  <si>
    <t>2.784.034.932.782</t>
  </si>
  <si>
    <t>80.071.531.567</t>
  </si>
  <si>
    <t>129.681.110.424</t>
  </si>
  <si>
    <t>59.905.898.413</t>
  </si>
  <si>
    <t>444.730.232.233</t>
  </si>
  <si>
    <t>352.254.777.397</t>
  </si>
  <si>
    <t>152.824.260.124</t>
  </si>
  <si>
    <t>87.197.430.616</t>
  </si>
  <si>
    <t>1.567.792.832.478</t>
  </si>
  <si>
    <t>2.187.309.930.948</t>
  </si>
  <si>
    <t>253.562.357.210</t>
  </si>
  <si>
    <t>2.123.714.015.128</t>
  </si>
  <si>
    <t>3.930.134.280.000</t>
  </si>
  <si>
    <t>660.320.917.654</t>
  </si>
  <si>
    <t>271.085.257.321</t>
  </si>
  <si>
    <t>347.435.288.802</t>
  </si>
  <si>
    <t>122.303.880.289</t>
  </si>
  <si>
    <t>994.211.815.808</t>
  </si>
  <si>
    <t>484.587.095.527</t>
  </si>
  <si>
    <t>113.944.944.752</t>
  </si>
  <si>
    <t>793.185.176</t>
  </si>
  <si>
    <t>2.426</t>
  </si>
  <si>
    <t>1.161</t>
  </si>
  <si>
    <t>776.795.298.597</t>
  </si>
  <si>
    <t>0.99358</t>
  </si>
  <si>
    <t>1.795.635.736.766</t>
  </si>
  <si>
    <t>2.868.678.174.669</t>
  </si>
  <si>
    <t>74.758.525.663</t>
  </si>
  <si>
    <t>129.769.390.298</t>
  </si>
  <si>
    <t>15.584.047.523</t>
  </si>
  <si>
    <t>364.295.208.462</t>
  </si>
  <si>
    <t>212.554.922.175</t>
  </si>
  <si>
    <t>187.321.711.691</t>
  </si>
  <si>
    <t>41.323.471.169</t>
  </si>
  <si>
    <t>1.066.512.782.760</t>
  </si>
  <si>
    <t>1.507.282.199.815</t>
  </si>
  <si>
    <t>150.680.475.252</t>
  </si>
  <si>
    <t>2.254.645.093.891</t>
  </si>
  <si>
    <t>4.804.589.157.300</t>
  </si>
  <si>
    <t>614.033.080.778</t>
  </si>
  <si>
    <t>223.636.236.675</t>
  </si>
  <si>
    <t>606.879.728.298</t>
  </si>
  <si>
    <t>89.886.541.364</t>
  </si>
  <si>
    <t>1.171.257.229.099</t>
  </si>
  <si>
    <t>480.992.542.620</t>
  </si>
  <si>
    <t>57.962.582.677</t>
  </si>
  <si>
    <t>60.670.000</t>
  </si>
  <si>
    <t>1.448</t>
  </si>
  <si>
    <t>1.089</t>
  </si>
  <si>
    <t>887.241.609.739</t>
  </si>
  <si>
    <t>0.9993</t>
  </si>
  <si>
    <t>2.454.337.015.222</t>
  </si>
  <si>
    <t>3.052.183.340.336</t>
  </si>
  <si>
    <t>81.741.508.107</t>
  </si>
  <si>
    <t>151.591.616.913</t>
  </si>
  <si>
    <t>13.436.625.558</t>
  </si>
  <si>
    <t>414.358.679.997</t>
  </si>
  <si>
    <t>236.023.009.942</t>
  </si>
  <si>
    <t>327.060.184.759</t>
  </si>
  <si>
    <t>17.976.741.167</t>
  </si>
  <si>
    <t>1.544.925.892.631</t>
  </si>
  <si>
    <t>2.060.409.625.650</t>
  </si>
  <si>
    <t>203.829.241.923</t>
  </si>
  <si>
    <t>2.399.834.844.238</t>
  </si>
  <si>
    <t>3.753.278.237.400</t>
  </si>
  <si>
    <t>652.348.496.098</t>
  </si>
  <si>
    <t>74.203.136.423</t>
  </si>
  <si>
    <t>507.906.898.731</t>
  </si>
  <si>
    <t>78.515.219.488</t>
  </si>
  <si>
    <t>1.127.107.316.081</t>
  </si>
  <si>
    <t>526.500.411.542</t>
  </si>
  <si>
    <t>36.288.014.193</t>
  </si>
  <si>
    <t>1.960</t>
  </si>
  <si>
    <t>1.169</t>
  </si>
  <si>
    <t>981.511.829.319</t>
  </si>
  <si>
    <t>CTCP Bọc ống Dầu khí Việt Nam</t>
  </si>
  <si>
    <t>PVB</t>
  </si>
  <si>
    <t>21.599.998</t>
  </si>
  <si>
    <t>695.138.281.566</t>
  </si>
  <si>
    <t>587.675.334.528</t>
  </si>
  <si>
    <t>42.882.879.551</t>
  </si>
  <si>
    <t>1.168.939.633</t>
  </si>
  <si>
    <t>91.227.751.009</t>
  </si>
  <si>
    <t>343.724.558.572</t>
  </si>
  <si>
    <t>160.117.724.938</t>
  </si>
  <si>
    <t>623.520.568.536</t>
  </si>
  <si>
    <t>60.551.417.423</t>
  </si>
  <si>
    <t>411.108.317.911</t>
  </si>
  <si>
    <t>366.832.766.034</t>
  </si>
  <si>
    <t>176.567.016.617</t>
  </si>
  <si>
    <t>236.748.014.885</t>
  </si>
  <si>
    <t>-1.837.300.000</t>
  </si>
  <si>
    <t>-17.288.616.811</t>
  </si>
  <si>
    <t>72.804.817.811</t>
  </si>
  <si>
    <t>529.553.664.432</t>
  </si>
  <si>
    <t>145.048.609.508</t>
  </si>
  <si>
    <t>134.763.184.512</t>
  </si>
  <si>
    <t>-21.538.438.000</t>
  </si>
  <si>
    <t>2.196</t>
  </si>
  <si>
    <t>158</t>
  </si>
  <si>
    <t>52.554.731.852</t>
  </si>
  <si>
    <t>38.785.140.179</t>
  </si>
  <si>
    <t>452.422.854.531</t>
  </si>
  <si>
    <t>18.457.695.548</t>
  </si>
  <si>
    <t>895.919.941</t>
  </si>
  <si>
    <t>12.112.415.675</t>
  </si>
  <si>
    <t>17.243.483.066</t>
  </si>
  <si>
    <t>18.960.426.632</t>
  </si>
  <si>
    <t>76.472.931.822</t>
  </si>
  <si>
    <t>580.993.441</t>
  </si>
  <si>
    <t>379.676.411.352</t>
  </si>
  <si>
    <t>425.519.960.600</t>
  </si>
  <si>
    <t>72.746.443.179</t>
  </si>
  <si>
    <t>72.586.983.462</t>
  </si>
  <si>
    <t>-382.370.000</t>
  </si>
  <si>
    <t>98.437.633.190</t>
  </si>
  <si>
    <t>25.428.514.667</t>
  </si>
  <si>
    <t>406.026.092.982</t>
  </si>
  <si>
    <t>71.690.795.478</t>
  </si>
  <si>
    <t>128.844.748.077</t>
  </si>
  <si>
    <t>27</t>
  </si>
  <si>
    <t>41.673.071.160</t>
  </si>
  <si>
    <t>34.362.448.029</t>
  </si>
  <si>
    <t>400.033.556.514</t>
  </si>
  <si>
    <t>25.199.803.166</t>
  </si>
  <si>
    <t>359.027.775</t>
  </si>
  <si>
    <t>-2.198.784.129</t>
  </si>
  <si>
    <t>12.974.058.228</t>
  </si>
  <si>
    <t>21.773.861.152</t>
  </si>
  <si>
    <t>86.419.603.240</t>
  </si>
  <si>
    <t>-12.982.597.536</t>
  </si>
  <si>
    <t>366.112.820.375</t>
  </si>
  <si>
    <t>244.079.977.400</t>
  </si>
  <si>
    <t>33.920.736.139</t>
  </si>
  <si>
    <t>-38.888.474.337</t>
  </si>
  <si>
    <t>-180.180.000</t>
  </si>
  <si>
    <t>40.017.384.952</t>
  </si>
  <si>
    <t>26.482.368.944</t>
  </si>
  <si>
    <t>361.553.640.992</t>
  </si>
  <si>
    <t>33.753.904.122</t>
  </si>
  <si>
    <t>122.344.285.034</t>
  </si>
  <si>
    <t>-601</t>
  </si>
  <si>
    <t>151</t>
  </si>
  <si>
    <t>34.235.418.083</t>
  </si>
  <si>
    <t>244.471.730.847</t>
  </si>
  <si>
    <t>497.996.864.279</t>
  </si>
  <si>
    <t>24.434.657.545</t>
  </si>
  <si>
    <t>12.849.128.440</t>
  </si>
  <si>
    <t>87.929.733.981</t>
  </si>
  <si>
    <t>104.394.568.089</t>
  </si>
  <si>
    <t>267.636.925.191</t>
  </si>
  <si>
    <t>3.364.261.227</t>
  </si>
  <si>
    <t>369.407.031.602</t>
  </si>
  <si>
    <t>457.919.957.600</t>
  </si>
  <si>
    <t>128.589.832.677</t>
  </si>
  <si>
    <t>-167.014.723.392</t>
  </si>
  <si>
    <t>-917.203.500</t>
  </si>
  <si>
    <t>89.483.735.644</t>
  </si>
  <si>
    <t>34.535.992.279</t>
  </si>
  <si>
    <t>462.932.253.600</t>
  </si>
  <si>
    <t>123.621.731.520</t>
  </si>
  <si>
    <t>116.969.969.605</t>
  </si>
  <si>
    <t>156</t>
  </si>
  <si>
    <t>144</t>
  </si>
  <si>
    <t>29.363.054.929</t>
  </si>
  <si>
    <t>265.172.268.736</t>
  </si>
  <si>
    <t>453.967.117.840</t>
  </si>
  <si>
    <t>25.556.459.259</t>
  </si>
  <si>
    <t>20.680.534.024</t>
  </si>
  <si>
    <t>47.415.373.715</t>
  </si>
  <si>
    <t>144.576.197.415</t>
  </si>
  <si>
    <t>245.060.267.659</t>
  </si>
  <si>
    <t>14.526.612.284</t>
  </si>
  <si>
    <t>381.783.647.886</t>
  </si>
  <si>
    <t>645.839.940.200</t>
  </si>
  <si>
    <t>72.183.469.954</t>
  </si>
  <si>
    <t>193.443.950.388</t>
  </si>
  <si>
    <t>-4.436.430.488</t>
  </si>
  <si>
    <t>-130.176.953.192</t>
  </si>
  <si>
    <t>11.703.240.641</t>
  </si>
  <si>
    <t>414.523.887.957</t>
  </si>
  <si>
    <t>68.784.804.743</t>
  </si>
  <si>
    <t>100.686.374.908</t>
  </si>
  <si>
    <t>-86.214.817.553</t>
  </si>
  <si>
    <t>140</t>
  </si>
  <si>
    <t>27.711.149.601</t>
  </si>
  <si>
    <t>CTCP Giao nhận Vận tải Ngoại thương</t>
  </si>
  <si>
    <t>VNT</t>
  </si>
  <si>
    <t>11.893.605</t>
  </si>
  <si>
    <t>1.238.969.860.261</t>
  </si>
  <si>
    <t>641.540.121.222</t>
  </si>
  <si>
    <t>29.638.668.821</t>
  </si>
  <si>
    <t>1.152.884.002</t>
  </si>
  <si>
    <t>13.466.193.389</t>
  </si>
  <si>
    <t>1.089.278.390.923</t>
  </si>
  <si>
    <t>1.183.231.595.490</t>
  </si>
  <si>
    <t>-9.610.363.652</t>
  </si>
  <si>
    <t>186.704.889.020</t>
  </si>
  <si>
    <t>845.147.687.695</t>
  </si>
  <si>
    <t>454.835.232.202</t>
  </si>
  <si>
    <t>-16.567.866.794</t>
  </si>
  <si>
    <t>100.042.072.603</t>
  </si>
  <si>
    <t>415.127.276.577</t>
  </si>
  <si>
    <t>452.835.232.202</t>
  </si>
  <si>
    <t>-14.272.326.000</t>
  </si>
  <si>
    <t>-850</t>
  </si>
  <si>
    <t>392</t>
  </si>
  <si>
    <t>38.974.050.194</t>
  </si>
  <si>
    <t>2.544.345.801.877</t>
  </si>
  <si>
    <t>792.028.101.064</t>
  </si>
  <si>
    <t>39.557.593.787</t>
  </si>
  <si>
    <t>1.083.647.494</t>
  </si>
  <si>
    <t>48.978.614.863</t>
  </si>
  <si>
    <t>2.306.250.522.797</t>
  </si>
  <si>
    <t>2.444.956.677.996</t>
  </si>
  <si>
    <t>11.016.556.956</t>
  </si>
  <si>
    <t>198.253.423.456</t>
  </si>
  <si>
    <t>929.663.634.825</t>
  </si>
  <si>
    <t>593.774.677.608</t>
  </si>
  <si>
    <t>20.493.041.068</t>
  </si>
  <si>
    <t>112.902.428.057</t>
  </si>
  <si>
    <t>58.891.282.505</t>
  </si>
  <si>
    <t>617.505.422.721</t>
  </si>
  <si>
    <t>527.585.336.292</t>
  </si>
  <si>
    <t>884</t>
  </si>
  <si>
    <t>406</t>
  </si>
  <si>
    <t>36.344.877.225</t>
  </si>
  <si>
    <t>25</t>
  </si>
  <si>
    <t>1.803.584.707.015</t>
  </si>
  <si>
    <t>702.705.783.316</t>
  </si>
  <si>
    <t>41.628.708.961</t>
  </si>
  <si>
    <t>1.064.751.263</t>
  </si>
  <si>
    <t>21.808.377.441</t>
  </si>
  <si>
    <t>1.578.736.904.055</t>
  </si>
  <si>
    <t>1.713.423.210.712</t>
  </si>
  <si>
    <t>-11.201.327.291</t>
  </si>
  <si>
    <t>174.948.180.460</t>
  </si>
  <si>
    <t>786.167.290.500</t>
  </si>
  <si>
    <t>527.757.602.856</t>
  </si>
  <si>
    <t>152.228.644.413</t>
  </si>
  <si>
    <t>124.513.281.776</t>
  </si>
  <si>
    <t>59.234.212.941</t>
  </si>
  <si>
    <t>473.137.165.852</t>
  </si>
  <si>
    <t>461.176.355.101</t>
  </si>
  <si>
    <t>-11.893.605.000</t>
  </si>
  <si>
    <t>-984</t>
  </si>
  <si>
    <t>426</t>
  </si>
  <si>
    <t>31.494.646.854</t>
  </si>
  <si>
    <t>26</t>
  </si>
  <si>
    <t>16.644.097</t>
  </si>
  <si>
    <t>879.526.958.129</t>
  </si>
  <si>
    <t>651.679.658.160</t>
  </si>
  <si>
    <t>30.360.892.937</t>
  </si>
  <si>
    <t>1.019.423.592</t>
  </si>
  <si>
    <t>3.774.806.530</t>
  </si>
  <si>
    <t>740.885.843.817</t>
  </si>
  <si>
    <t>830.649.556.559</t>
  </si>
  <si>
    <t>-17.640.227.953</t>
  </si>
  <si>
    <t>216.562.552.507</t>
  </si>
  <si>
    <t>559.241.659.200</t>
  </si>
  <si>
    <t>435.117.105.653</t>
  </si>
  <si>
    <t>-6.947.278.734</t>
  </si>
  <si>
    <t>119.556.742.636</t>
  </si>
  <si>
    <t>423.128.039.713</t>
  </si>
  <si>
    <t>432.073.011.653</t>
  </si>
  <si>
    <t>-8.649.291.185</t>
  </si>
  <si>
    <t>-1.113</t>
  </si>
  <si>
    <t>420</t>
  </si>
  <si>
    <t>28.352.437.191</t>
  </si>
  <si>
    <t>1.433.454.597.621</t>
  </si>
  <si>
    <t>672.033.682.469</t>
  </si>
  <si>
    <t>32.782.200.676</t>
  </si>
  <si>
    <t>1.109.752.509</t>
  </si>
  <si>
    <t>27.988.498.426</t>
  </si>
  <si>
    <t>1.270.315.018.813</t>
  </si>
  <si>
    <t>1.366.268.055.674</t>
  </si>
  <si>
    <t>227.910.645</t>
  </si>
  <si>
    <t>216.790.463.152</t>
  </si>
  <si>
    <t>464.370.306.300</t>
  </si>
  <si>
    <t>455.243.219.317</t>
  </si>
  <si>
    <t>-64.188.336.685</t>
  </si>
  <si>
    <t>182.208.793.408</t>
  </si>
  <si>
    <t>481.576.166.654</t>
  </si>
  <si>
    <t>452.866.869.317</t>
  </si>
  <si>
    <t>-16</t>
  </si>
  <si>
    <t>359</t>
  </si>
  <si>
    <t>24.388.336.433</t>
  </si>
  <si>
    <t>28</t>
  </si>
  <si>
    <t>Index</t>
  </si>
  <si>
    <t>Ghi chú</t>
  </si>
  <si>
    <t>Fraction of share owned by BOD/manager</t>
  </si>
  <si>
    <t>FiinPro, Vietstock, public sources</t>
  </si>
  <si>
    <t>Fraction of share owned by the government</t>
  </si>
  <si>
    <t>Fraction of share owned by domestic institutional investors</t>
  </si>
  <si>
    <t>Fraction of share owned by foreign investors</t>
  </si>
  <si>
    <t>Total number of shares issued by the company</t>
  </si>
  <si>
    <t>FiinPro, Vietstock, BCTC phần equity</t>
  </si>
  <si>
    <t>Total sales revenue and Net sales revenue</t>
  </si>
  <si>
    <t>Doanh thu trong nam cua doanh nghiep/Doanh thu thuan</t>
  </si>
  <si>
    <t>Profit and Loss statement, Note BCTC</t>
  </si>
  <si>
    <t>Gia tri so sach cua tong tai san</t>
  </si>
  <si>
    <t>Balance sheet</t>
  </si>
  <si>
    <t>Chi phi ban hang cua doanh nghiep</t>
  </si>
  <si>
    <t>Note BCTC</t>
  </si>
  <si>
    <t>General and administrative expenditure</t>
  </si>
  <si>
    <t>Chi phi quan tri cua doanh nghiep</t>
  </si>
  <si>
    <t>Gia tri so sach cua tai san vo hinh</t>
  </si>
  <si>
    <t>Balance sheet/Note BCTC</t>
  </si>
  <si>
    <t>Total factory costs – Direct materials – Direct labor</t>
  </si>
  <si>
    <t>Income generated from operating activites before tax and depreciation</t>
  </si>
  <si>
    <t>Profit and Loss statement</t>
  </si>
  <si>
    <t>Chi phi nguyen vat lieu su dung trong san xuat</t>
  </si>
  <si>
    <t>Note BCTC (production cost)</t>
  </si>
  <si>
    <t>Hang hoa da mua trong nam</t>
  </si>
  <si>
    <t>Note BCTC (inventory)</t>
  </si>
  <si>
    <t>Hang hoa da mua con dang do</t>
  </si>
  <si>
    <t>Chi phí gia công/thuê sản xuất bên ngoài</t>
  </si>
  <si>
    <t>Tong chi phi san xuat (SUM ca 5 yeu to material + staff + outside service+other+depreciation)</t>
  </si>
  <si>
    <t>Note BCTC trong phần production cost by element</t>
  </si>
  <si>
    <t>Chi phi nghien cuu va phat trien</t>
  </si>
  <si>
    <t>World Bank</t>
  </si>
  <si>
    <t>Doanh nghiep co cong bo san pham moi hay khong (dummy 0/1)</t>
  </si>
  <si>
    <t>Doanh nghiep co quy trinh san xuat moi hay khong (dummy 0/1)</t>
  </si>
  <si>
    <t>Loi nhuan thuan tu hoat dong kinh doanh</t>
  </si>
  <si>
    <t>Gia tri so sach cua von chu so huu</t>
  </si>
  <si>
    <t>Share market price * number of share outstanding: gia thi truong cua von chu so huu</t>
  </si>
  <si>
    <t>FiinPro, Vietstock, public sources (chỉ số tài chính)</t>
  </si>
  <si>
    <t>Tong no cua doanh nghiep trong nam</t>
  </si>
  <si>
    <t>Dong tien tu hoat dong kinh doanh</t>
  </si>
  <si>
    <t>Cash flow statement</t>
  </si>
  <si>
    <t>chi phí vốn hoặc chi phí tài sản cố định</t>
  </si>
  <si>
    <t>Note BCTC, Balance sheet</t>
  </si>
  <si>
    <t>dong tien tu hoat dong dau tu tai san dai han</t>
  </si>
  <si>
    <t>Tien va gia tri tuong duong tien</t>
  </si>
  <si>
    <t>Balance sheet/Cash flow statement</t>
  </si>
  <si>
    <t>No dai han cua doanh nghiep (&gt;1 nam)</t>
  </si>
  <si>
    <t>Tai san ngan han</t>
  </si>
  <si>
    <t>No ngan han</t>
  </si>
  <si>
    <t>Chi so tang truong so voi nam ngoai</t>
  </si>
  <si>
    <t>Tong gia tri hang hoa cua doanh nghiep (nam trong tai san ngan han)</t>
  </si>
  <si>
    <t>Co tuc duoc chia cho co dong</t>
  </si>
  <si>
    <t>Cashflow, balance sheet, Note BCTC</t>
  </si>
  <si>
    <t>Loi nhuan tren moi co phieu</t>
  </si>
  <si>
    <t>So luong nhan vien cua doanh nghiep</t>
  </si>
  <si>
    <t>Annual report, public sources</t>
  </si>
  <si>
    <t>Net plant, property and equipment</t>
  </si>
  <si>
    <t>Trang thiet bi may moc cua doanh nghiep</t>
  </si>
  <si>
    <t>So nam ke tu khi doanh nghiep thanh lap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</si>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</sst>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7">
    <font>
      <sz val="12"/>
      <color theme="1"/>
      <name val="Times New Roman"/>
      <scheme val="minor"/>
    </font>
    <font>
      <b/>
      <sz val="12"/>
      <color rgb="FF38761D"/>
      <name val="Times New Roman"/>
      <family val="1"/>
    </font>
    <font>
      <b/>
      <sz val="12"/>
      <color theme="4"/>
      <name val="Times New Roman"/>
      <family val="1"/>
    </font>
    <font>
      <b/>
      <sz val="12"/>
      <color rgb="FF000000"/>
      <name val="Times New Roman"/>
      <family val="1"/>
      <scheme val="minor"/>
    </font>
    <font>
      <b/>
      <sz val="12"/>
      <color theme="1"/>
      <name val="Times New Roman"/>
      <family val="1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  <scheme val="minor"/>
    </font>
    <font>
      <sz val="12"/>
      <color rgb="FF000000"/>
      <name val="Times New Roman"/>
      <family val="1"/>
    </font>
    <font>
      <sz val="12"/>
      <color rgb="FF000000"/>
      <name val="Arial"/>
      <family val="2"/>
    </font>
    <font>
      <sz val="12"/>
      <color theme="1"/>
      <name val="Times New Roman"/>
      <family val="1"/>
      <scheme val="minor"/>
    </font>
    <font>
      <sz val="12"/>
      <color rgb="FF303030"/>
      <name val="Times New Roman"/>
      <family val="1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sz val="12"/>
      <color rgb="FF1F1F1F"/>
      <name val="Times New Roman"/>
      <family val="1"/>
      <scheme val="minor"/>
    </font>
    <font>
      <b/>
      <sz val="12"/>
      <color rgb="FF000000"/>
      <name val="&quot;Times New Roman&quot;"/>
    </font>
    <font>
      <sz val="12"/>
      <name val="Times New Roman"/>
      <family val="1"/>
    </font>
    <font>
      <sz val="12"/>
      <color rgb="FF000000"/>
      <name val="&quot;Times New Roman&quot;"/>
    </font>
  </fonts>
  <fills count="13">
    <fill>
      <patternFill patternType="none"/>
    </fill>
    <fill>
      <patternFill patternType="gray125"/>
    </fill>
    <fill>
      <patternFill patternType="solid">
        <fgColor rgb="FF8ED973"/>
        <bgColor rgb="FF8ED973"/>
      </patternFill>
    </fill>
    <fill>
      <patternFill patternType="solid">
        <fgColor rgb="FF8ED873"/>
        <bgColor rgb="FF8ED87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5E6A2"/>
        <bgColor rgb="FFB5E6A2"/>
      </patternFill>
    </fill>
    <fill>
      <patternFill patternType="solid">
        <fgColor rgb="FFB3E5A1"/>
        <bgColor rgb="FFB3E5A1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left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49" fontId="7" fillId="4" borderId="1" xfId="0" quotePrefix="1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>
      <alignment horizontal="left" vertical="center"/>
    </xf>
    <xf numFmtId="49" fontId="0" fillId="7" borderId="1" xfId="0" applyNumberFormat="1" applyFont="1" applyFill="1" applyBorder="1" applyAlignment="1">
      <alignment horizontal="center"/>
    </xf>
    <xf numFmtId="49" fontId="7" fillId="7" borderId="1" xfId="0" applyNumberFormat="1" applyFont="1" applyFill="1" applyBorder="1" applyAlignment="1">
      <alignment horizontal="center"/>
    </xf>
    <xf numFmtId="49" fontId="7" fillId="7" borderId="1" xfId="0" quotePrefix="1" applyNumberFormat="1" applyFont="1" applyFill="1" applyBorder="1" applyAlignment="1">
      <alignment horizontal="center"/>
    </xf>
    <xf numFmtId="0" fontId="5" fillId="8" borderId="0" xfId="0" applyFont="1" applyFill="1"/>
    <xf numFmtId="49" fontId="8" fillId="4" borderId="1" xfId="0" applyNumberFormat="1" applyFont="1" applyFill="1" applyBorder="1" applyAlignment="1"/>
    <xf numFmtId="49" fontId="6" fillId="7" borderId="1" xfId="0" applyNumberFormat="1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left" vertical="center"/>
    </xf>
    <xf numFmtId="49" fontId="6" fillId="9" borderId="1" xfId="0" applyNumberFormat="1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/>
    </xf>
    <xf numFmtId="49" fontId="5" fillId="7" borderId="0" xfId="0" applyNumberFormat="1" applyFont="1" applyFill="1" applyAlignment="1"/>
    <xf numFmtId="0" fontId="9" fillId="7" borderId="0" xfId="0" applyFont="1" applyFill="1"/>
    <xf numFmtId="49" fontId="5" fillId="7" borderId="0" xfId="0" applyNumberFormat="1" applyFont="1" applyFill="1" applyAlignment="1">
      <alignment horizontal="center"/>
    </xf>
    <xf numFmtId="49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10" fillId="4" borderId="1" xfId="0" applyNumberFormat="1" applyFont="1" applyFill="1" applyBorder="1" applyAlignment="1">
      <alignment horizontal="center"/>
    </xf>
    <xf numFmtId="49" fontId="10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center"/>
    </xf>
    <xf numFmtId="49" fontId="11" fillId="0" borderId="1" xfId="0" applyNumberFormat="1" applyFont="1" applyBorder="1" applyAlignment="1"/>
    <xf numFmtId="49" fontId="0" fillId="6" borderId="1" xfId="0" applyNumberFormat="1" applyFont="1" applyFill="1" applyBorder="1" applyAlignment="1">
      <alignment horizontal="center"/>
    </xf>
    <xf numFmtId="49" fontId="5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9" fillId="6" borderId="0" xfId="0" applyFont="1" applyFill="1"/>
    <xf numFmtId="49" fontId="5" fillId="6" borderId="0" xfId="0" applyNumberFormat="1" applyFont="1" applyFill="1" applyAlignment="1">
      <alignment horizontal="center"/>
    </xf>
    <xf numFmtId="49" fontId="6" fillId="0" borderId="1" xfId="0" applyNumberFormat="1" applyFont="1" applyBorder="1" applyAlignment="1">
      <alignment horizontal="left" vertical="center"/>
    </xf>
    <xf numFmtId="3" fontId="11" fillId="0" borderId="1" xfId="0" applyNumberFormat="1" applyFont="1" applyBorder="1" applyAlignment="1"/>
    <xf numFmtId="3" fontId="12" fillId="4" borderId="1" xfId="0" applyNumberFormat="1" applyFont="1" applyFill="1" applyBorder="1" applyAlignment="1">
      <alignment horizontal="center"/>
    </xf>
    <xf numFmtId="49" fontId="0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right"/>
    </xf>
    <xf numFmtId="3" fontId="5" fillId="6" borderId="0" xfId="0" applyNumberFormat="1" applyFont="1" applyFill="1" applyAlignment="1">
      <alignment horizont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49" fontId="6" fillId="6" borderId="1" xfId="0" applyNumberFormat="1" applyFont="1" applyFill="1" applyBorder="1" applyAlignment="1">
      <alignment horizont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/>
    <xf numFmtId="49" fontId="6" fillId="11" borderId="1" xfId="0" applyNumberFormat="1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6" fillId="6" borderId="1" xfId="0" applyNumberFormat="1" applyFont="1" applyFill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4" fontId="6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0" fillId="4" borderId="1" xfId="0" applyNumberFormat="1" applyFont="1" applyFill="1" applyBorder="1" applyAlignment="1">
      <alignment horizontal="center"/>
    </xf>
    <xf numFmtId="4" fontId="0" fillId="4" borderId="1" xfId="0" applyNumberFormat="1" applyFont="1" applyFill="1" applyBorder="1" applyAlignment="1">
      <alignment horizontal="center"/>
    </xf>
    <xf numFmtId="3" fontId="0" fillId="4" borderId="1" xfId="0" applyNumberFormat="1" applyFon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0" fontId="9" fillId="4" borderId="0" xfId="0" applyFont="1" applyFill="1"/>
    <xf numFmtId="0" fontId="5" fillId="0" borderId="0" xfId="0" applyFont="1"/>
    <xf numFmtId="0" fontId="5" fillId="0" borderId="0" xfId="0" applyFont="1" applyAlignment="1"/>
    <xf numFmtId="0" fontId="14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12" borderId="4" xfId="0" applyFont="1" applyFill="1" applyBorder="1" applyAlignment="1">
      <alignment horizontal="left"/>
    </xf>
    <xf numFmtId="0" fontId="16" fillId="0" borderId="4" xfId="0" applyFont="1" applyBorder="1" applyAlignment="1"/>
    <xf numFmtId="0" fontId="16" fillId="0" borderId="1" xfId="0" applyFont="1" applyBorder="1" applyAlignment="1"/>
    <xf numFmtId="0" fontId="14" fillId="12" borderId="1" xfId="0" applyFont="1" applyFill="1" applyBorder="1" applyAlignment="1">
      <alignment horizontal="left"/>
    </xf>
    <xf numFmtId="0" fontId="14" fillId="12" borderId="0" xfId="0" applyFont="1" applyFill="1" applyAlignment="1"/>
    <xf numFmtId="0" fontId="14" fillId="0" borderId="1" xfId="0" applyFont="1" applyBorder="1" applyAlignment="1">
      <alignment horizontal="left"/>
    </xf>
    <xf numFmtId="0" fontId="14" fillId="12" borderId="1" xfId="0" applyFont="1" applyFill="1" applyBorder="1" applyAlignment="1">
      <alignment horizontal="left"/>
    </xf>
    <xf numFmtId="0" fontId="14" fillId="12" borderId="1" xfId="0" applyFont="1" applyFill="1" applyBorder="1" applyAlignment="1"/>
    <xf numFmtId="0" fontId="5" fillId="0" borderId="0" xfId="0" applyFont="1" applyAlignment="1">
      <alignment vertical="center"/>
    </xf>
    <xf numFmtId="0" fontId="0" fillId="0" borderId="0" xfId="0" applyFont="1" applyAlignment="1"/>
    <xf numFmtId="0" fontId="9" fillId="0" borderId="0" xfId="0" applyFont="1" applyAlignment="1">
      <alignment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0"/>
  <sheetViews>
    <sheetView tabSelected="1" workbookViewId="0">
      <pane xSplit="4" ySplit="3" topLeftCell="AJ91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defaultColWidth="11.19921875" defaultRowHeight="15" customHeight="1"/>
  <cols>
    <col min="1" max="1" width="4.8984375" customWidth="1"/>
    <col min="2" max="2" width="14.69921875" customWidth="1"/>
    <col min="3" max="3" width="7.3984375" customWidth="1"/>
    <col min="4" max="4" width="7.59765625" customWidth="1"/>
    <col min="5" max="5" width="19.296875" customWidth="1"/>
    <col min="6" max="6" width="14.796875" customWidth="1"/>
    <col min="7" max="7" width="9.59765625" customWidth="1"/>
    <col min="8" max="8" width="10.8984375" customWidth="1"/>
    <col min="9" max="9" width="9.796875" customWidth="1"/>
    <col min="10" max="10" width="12.69921875" customWidth="1"/>
    <col min="11" max="11" width="17.59765625" customWidth="1"/>
    <col min="12" max="12" width="16.796875" customWidth="1"/>
    <col min="13" max="13" width="16.296875" customWidth="1"/>
    <col min="14" max="14" width="14.09765625" customWidth="1"/>
    <col min="15" max="15" width="14.19921875" customWidth="1"/>
    <col min="16" max="16" width="14.3984375" customWidth="1"/>
    <col min="17" max="17" width="15.19921875" customWidth="1"/>
    <col min="18" max="18" width="19.3984375" customWidth="1"/>
    <col min="19" max="19" width="16.19921875" customWidth="1"/>
    <col min="20" max="20" width="13.19921875" customWidth="1"/>
    <col min="21" max="21" width="16.69921875" customWidth="1"/>
    <col min="22" max="22" width="14.796875" customWidth="1"/>
    <col min="23" max="23" width="15.59765625" customWidth="1"/>
    <col min="24" max="24" width="10.296875" customWidth="1"/>
    <col min="25" max="25" width="9.59765625" customWidth="1"/>
    <col min="26" max="26" width="8.8984375" customWidth="1"/>
    <col min="27" max="27" width="16.296875" customWidth="1"/>
    <col min="28" max="28" width="16.796875" customWidth="1"/>
    <col min="29" max="29" width="19.19921875" customWidth="1"/>
    <col min="30" max="30" width="19.59765625" customWidth="1"/>
    <col min="31" max="31" width="18.69921875" customWidth="1"/>
    <col min="32" max="32" width="16.59765625" customWidth="1"/>
    <col min="33" max="33" width="17.19921875" customWidth="1"/>
    <col min="34" max="34" width="16.8984375" customWidth="1"/>
    <col min="35" max="35" width="16.296875" customWidth="1"/>
    <col min="36" max="36" width="17" customWidth="1"/>
    <col min="37" max="37" width="15" customWidth="1"/>
    <col min="38" max="38" width="12.296875" customWidth="1"/>
    <col min="39" max="39" width="15.69921875" customWidth="1"/>
    <col min="40" max="40" width="15.59765625" customWidth="1"/>
    <col min="41" max="41" width="9.8984375" customWidth="1"/>
    <col min="42" max="42" width="12.3984375" customWidth="1"/>
    <col min="43" max="43" width="17" customWidth="1"/>
    <col min="44" max="44" width="6.8984375" customWidth="1"/>
    <col min="45" max="47" width="8.59765625" customWidth="1"/>
  </cols>
  <sheetData>
    <row r="1" spans="1:47" ht="15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"/>
      <c r="V1" s="2"/>
      <c r="W1" s="2"/>
    </row>
    <row r="2" spans="1:47" ht="15.75" customHeight="1"/>
    <row r="3" spans="1:47" ht="15.75" customHeight="1">
      <c r="A3" s="3" t="s">
        <v>1</v>
      </c>
      <c r="B3" s="4" t="s">
        <v>2</v>
      </c>
      <c r="C3" s="3" t="s">
        <v>2477</v>
      </c>
      <c r="D3" s="3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  <c r="M3" s="5" t="s">
        <v>12</v>
      </c>
      <c r="N3" s="5" t="s">
        <v>13</v>
      </c>
      <c r="O3" s="5" t="s">
        <v>14</v>
      </c>
      <c r="P3" s="5" t="s">
        <v>15</v>
      </c>
      <c r="Q3" s="5" t="s">
        <v>16</v>
      </c>
      <c r="R3" s="5" t="s">
        <v>17</v>
      </c>
      <c r="S3" s="5" t="s">
        <v>18</v>
      </c>
      <c r="T3" s="5" t="s">
        <v>19</v>
      </c>
      <c r="U3" s="5" t="s">
        <v>20</v>
      </c>
      <c r="V3" s="5" t="s">
        <v>21</v>
      </c>
      <c r="W3" s="5" t="s">
        <v>22</v>
      </c>
      <c r="X3" s="6" t="s">
        <v>23</v>
      </c>
      <c r="Y3" s="5" t="s">
        <v>24</v>
      </c>
      <c r="Z3" s="5" t="s">
        <v>25</v>
      </c>
      <c r="AA3" s="5" t="s">
        <v>26</v>
      </c>
      <c r="AB3" s="5" t="s">
        <v>27</v>
      </c>
      <c r="AC3" s="5" t="s">
        <v>28</v>
      </c>
      <c r="AD3" s="5" t="s">
        <v>29</v>
      </c>
      <c r="AE3" s="5" t="s">
        <v>30</v>
      </c>
      <c r="AF3" s="5" t="s">
        <v>31</v>
      </c>
      <c r="AG3" s="5" t="s">
        <v>32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39</v>
      </c>
      <c r="AO3" s="5" t="s">
        <v>40</v>
      </c>
      <c r="AP3" s="5" t="s">
        <v>41</v>
      </c>
      <c r="AQ3" s="6" t="s">
        <v>2474</v>
      </c>
      <c r="AR3" s="5" t="s">
        <v>42</v>
      </c>
      <c r="AS3" s="7"/>
      <c r="AT3" s="7"/>
      <c r="AU3" s="8"/>
    </row>
    <row r="4" spans="1:47" ht="15.75" customHeight="1">
      <c r="A4" s="9" t="s">
        <v>43</v>
      </c>
      <c r="B4" s="10" t="s">
        <v>44</v>
      </c>
      <c r="C4" s="11" t="s">
        <v>45</v>
      </c>
      <c r="D4" s="12" t="s">
        <v>46</v>
      </c>
      <c r="E4" s="13" t="s">
        <v>47</v>
      </c>
      <c r="F4" s="14" t="s">
        <v>48</v>
      </c>
      <c r="G4" s="14" t="s">
        <v>49</v>
      </c>
      <c r="H4" s="14" t="s">
        <v>50</v>
      </c>
      <c r="I4" s="14" t="s">
        <v>51</v>
      </c>
      <c r="J4" s="14" t="s">
        <v>52</v>
      </c>
      <c r="K4" s="14" t="s">
        <v>53</v>
      </c>
      <c r="L4" s="14" t="s">
        <v>54</v>
      </c>
      <c r="M4" s="14" t="s">
        <v>55</v>
      </c>
      <c r="N4" s="14" t="s">
        <v>56</v>
      </c>
      <c r="O4" s="14" t="s">
        <v>57</v>
      </c>
      <c r="P4" s="14" t="s">
        <v>58</v>
      </c>
      <c r="Q4" s="14" t="s">
        <v>59</v>
      </c>
      <c r="R4" s="14" t="s">
        <v>60</v>
      </c>
      <c r="S4" s="14" t="s">
        <v>61</v>
      </c>
      <c r="T4" s="14" t="s">
        <v>62</v>
      </c>
      <c r="U4" s="14" t="s">
        <v>49</v>
      </c>
      <c r="V4" s="14" t="s">
        <v>63</v>
      </c>
      <c r="W4" s="14" t="s">
        <v>64</v>
      </c>
      <c r="X4" s="15" t="s">
        <v>49</v>
      </c>
      <c r="Y4" s="15" t="s">
        <v>49</v>
      </c>
      <c r="Z4" s="15" t="s">
        <v>49</v>
      </c>
      <c r="AA4" s="14" t="s">
        <v>65</v>
      </c>
      <c r="AB4" s="14" t="s">
        <v>66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70</v>
      </c>
      <c r="AH4" s="14" t="s">
        <v>71</v>
      </c>
      <c r="AI4" s="14" t="s">
        <v>72</v>
      </c>
      <c r="AJ4" s="14" t="s">
        <v>73</v>
      </c>
      <c r="AK4" s="14" t="s">
        <v>74</v>
      </c>
      <c r="AL4" s="14" t="s">
        <v>75</v>
      </c>
      <c r="AM4" s="14" t="s">
        <v>76</v>
      </c>
      <c r="AN4" s="14" t="s">
        <v>77</v>
      </c>
      <c r="AO4" s="15" t="s">
        <v>78</v>
      </c>
      <c r="AP4" s="15" t="s">
        <v>79</v>
      </c>
      <c r="AQ4" s="14" t="s">
        <v>80</v>
      </c>
      <c r="AR4" s="15" t="s">
        <v>81</v>
      </c>
    </row>
    <row r="5" spans="1:47" ht="15.75" customHeight="1">
      <c r="A5" s="9" t="s">
        <v>43</v>
      </c>
      <c r="B5" s="10" t="s">
        <v>44</v>
      </c>
      <c r="C5" s="11" t="s">
        <v>45</v>
      </c>
      <c r="D5" s="12" t="s">
        <v>82</v>
      </c>
      <c r="E5" s="13" t="s">
        <v>47</v>
      </c>
      <c r="F5" s="14" t="s">
        <v>83</v>
      </c>
      <c r="G5" s="14" t="s">
        <v>49</v>
      </c>
      <c r="H5" s="14" t="s">
        <v>84</v>
      </c>
      <c r="I5" s="14" t="s">
        <v>85</v>
      </c>
      <c r="J5" s="14" t="s">
        <v>52</v>
      </c>
      <c r="K5" s="14" t="s">
        <v>86</v>
      </c>
      <c r="L5" s="14" t="s">
        <v>87</v>
      </c>
      <c r="M5" s="14" t="s">
        <v>88</v>
      </c>
      <c r="N5" s="14" t="s">
        <v>89</v>
      </c>
      <c r="O5" s="14" t="s">
        <v>90</v>
      </c>
      <c r="P5" s="14" t="s">
        <v>91</v>
      </c>
      <c r="Q5" s="14" t="s">
        <v>92</v>
      </c>
      <c r="R5" s="14" t="s">
        <v>93</v>
      </c>
      <c r="S5" s="14" t="s">
        <v>94</v>
      </c>
      <c r="T5" s="14" t="s">
        <v>95</v>
      </c>
      <c r="U5" s="14" t="s">
        <v>96</v>
      </c>
      <c r="V5" s="14" t="s">
        <v>97</v>
      </c>
      <c r="W5" s="14" t="s">
        <v>98</v>
      </c>
      <c r="X5" s="15" t="s">
        <v>49</v>
      </c>
      <c r="Y5" s="15" t="s">
        <v>49</v>
      </c>
      <c r="Z5" s="15" t="s">
        <v>49</v>
      </c>
      <c r="AA5" s="14" t="s">
        <v>99</v>
      </c>
      <c r="AB5" s="14" t="s">
        <v>100</v>
      </c>
      <c r="AC5" s="14" t="s">
        <v>101</v>
      </c>
      <c r="AD5" s="14" t="s">
        <v>102</v>
      </c>
      <c r="AE5" s="14" t="s">
        <v>103</v>
      </c>
      <c r="AF5" s="14" t="s">
        <v>104</v>
      </c>
      <c r="AG5" s="14" t="s">
        <v>104</v>
      </c>
      <c r="AH5" s="14" t="s">
        <v>105</v>
      </c>
      <c r="AI5" s="14" t="s">
        <v>106</v>
      </c>
      <c r="AJ5" s="14" t="s">
        <v>107</v>
      </c>
      <c r="AK5" s="14" t="s">
        <v>108</v>
      </c>
      <c r="AL5" s="14" t="s">
        <v>109</v>
      </c>
      <c r="AM5" s="14" t="s">
        <v>110</v>
      </c>
      <c r="AN5" s="14" t="s">
        <v>111</v>
      </c>
      <c r="AO5" s="15" t="s">
        <v>112</v>
      </c>
      <c r="AP5" s="15" t="s">
        <v>79</v>
      </c>
      <c r="AQ5" s="14" t="s">
        <v>113</v>
      </c>
      <c r="AR5" s="15" t="s">
        <v>114</v>
      </c>
    </row>
    <row r="6" spans="1:47" ht="15.75" customHeight="1">
      <c r="A6" s="9" t="s">
        <v>43</v>
      </c>
      <c r="B6" s="10" t="s">
        <v>44</v>
      </c>
      <c r="C6" s="11" t="s">
        <v>45</v>
      </c>
      <c r="D6" s="12" t="s">
        <v>115</v>
      </c>
      <c r="E6" s="13" t="s">
        <v>47</v>
      </c>
      <c r="F6" s="14" t="s">
        <v>116</v>
      </c>
      <c r="G6" s="14" t="s">
        <v>49</v>
      </c>
      <c r="H6" s="14" t="s">
        <v>117</v>
      </c>
      <c r="I6" s="14" t="s">
        <v>51</v>
      </c>
      <c r="J6" s="14" t="s">
        <v>118</v>
      </c>
      <c r="K6" s="14" t="s">
        <v>119</v>
      </c>
      <c r="L6" s="14" t="s">
        <v>120</v>
      </c>
      <c r="M6" s="14" t="s">
        <v>121</v>
      </c>
      <c r="N6" s="14" t="s">
        <v>122</v>
      </c>
      <c r="O6" s="14" t="s">
        <v>123</v>
      </c>
      <c r="P6" s="14" t="s">
        <v>124</v>
      </c>
      <c r="Q6" s="14" t="s">
        <v>125</v>
      </c>
      <c r="R6" s="14" t="s">
        <v>126</v>
      </c>
      <c r="S6" s="14" t="s">
        <v>127</v>
      </c>
      <c r="T6" s="14" t="s">
        <v>128</v>
      </c>
      <c r="U6" s="14" t="s">
        <v>129</v>
      </c>
      <c r="V6" s="14" t="s">
        <v>130</v>
      </c>
      <c r="W6" s="14" t="s">
        <v>131</v>
      </c>
      <c r="X6" s="15" t="s">
        <v>49</v>
      </c>
      <c r="Y6" s="15" t="s">
        <v>49</v>
      </c>
      <c r="Z6" s="15" t="s">
        <v>49</v>
      </c>
      <c r="AA6" s="14" t="s">
        <v>132</v>
      </c>
      <c r="AB6" s="14" t="s">
        <v>133</v>
      </c>
      <c r="AC6" s="14" t="s">
        <v>134</v>
      </c>
      <c r="AD6" s="14" t="s">
        <v>135</v>
      </c>
      <c r="AE6" s="14" t="s">
        <v>136</v>
      </c>
      <c r="AF6" s="14" t="s">
        <v>137</v>
      </c>
      <c r="AG6" s="14" t="s">
        <v>137</v>
      </c>
      <c r="AH6" s="14" t="s">
        <v>138</v>
      </c>
      <c r="AI6" s="14" t="s">
        <v>139</v>
      </c>
      <c r="AJ6" s="14" t="s">
        <v>140</v>
      </c>
      <c r="AK6" s="14" t="s">
        <v>141</v>
      </c>
      <c r="AL6" s="14" t="s">
        <v>142</v>
      </c>
      <c r="AM6" s="14" t="s">
        <v>143</v>
      </c>
      <c r="AN6" s="14" t="s">
        <v>49</v>
      </c>
      <c r="AO6" s="15" t="s">
        <v>144</v>
      </c>
      <c r="AP6" s="15" t="s">
        <v>145</v>
      </c>
      <c r="AQ6" s="14" t="s">
        <v>146</v>
      </c>
      <c r="AR6" s="15" t="s">
        <v>147</v>
      </c>
    </row>
    <row r="7" spans="1:47" ht="15.75" customHeight="1">
      <c r="A7" s="9" t="s">
        <v>43</v>
      </c>
      <c r="B7" s="10" t="s">
        <v>44</v>
      </c>
      <c r="C7" s="11" t="s">
        <v>45</v>
      </c>
      <c r="D7" s="12" t="s">
        <v>148</v>
      </c>
      <c r="E7" s="13" t="s">
        <v>47</v>
      </c>
      <c r="F7" s="14" t="s">
        <v>116</v>
      </c>
      <c r="G7" s="14" t="s">
        <v>49</v>
      </c>
      <c r="H7" s="14" t="s">
        <v>149</v>
      </c>
      <c r="I7" s="14" t="s">
        <v>51</v>
      </c>
      <c r="J7" s="14" t="s">
        <v>150</v>
      </c>
      <c r="K7" s="14" t="s">
        <v>151</v>
      </c>
      <c r="L7" s="14" t="s">
        <v>152</v>
      </c>
      <c r="M7" s="14" t="s">
        <v>153</v>
      </c>
      <c r="N7" s="14" t="s">
        <v>154</v>
      </c>
      <c r="O7" s="14" t="s">
        <v>155</v>
      </c>
      <c r="P7" s="14" t="s">
        <v>156</v>
      </c>
      <c r="Q7" s="14" t="s">
        <v>157</v>
      </c>
      <c r="R7" s="14" t="s">
        <v>158</v>
      </c>
      <c r="S7" s="14" t="s">
        <v>159</v>
      </c>
      <c r="T7" s="14" t="s">
        <v>160</v>
      </c>
      <c r="U7" s="14" t="s">
        <v>161</v>
      </c>
      <c r="V7" s="14" t="s">
        <v>162</v>
      </c>
      <c r="W7" s="14" t="s">
        <v>163</v>
      </c>
      <c r="X7" s="15" t="s">
        <v>49</v>
      </c>
      <c r="Y7" s="15" t="s">
        <v>49</v>
      </c>
      <c r="Z7" s="15" t="s">
        <v>49</v>
      </c>
      <c r="AA7" s="14" t="s">
        <v>164</v>
      </c>
      <c r="AB7" s="14" t="s">
        <v>165</v>
      </c>
      <c r="AC7" s="14" t="s">
        <v>166</v>
      </c>
      <c r="AD7" s="14" t="s">
        <v>167</v>
      </c>
      <c r="AE7" s="14" t="s">
        <v>168</v>
      </c>
      <c r="AF7" s="14" t="s">
        <v>169</v>
      </c>
      <c r="AG7" s="14" t="s">
        <v>169</v>
      </c>
      <c r="AH7" s="14" t="s">
        <v>170</v>
      </c>
      <c r="AI7" s="14" t="s">
        <v>171</v>
      </c>
      <c r="AJ7" s="14" t="s">
        <v>172</v>
      </c>
      <c r="AK7" s="14" t="s">
        <v>173</v>
      </c>
      <c r="AL7" s="14" t="s">
        <v>174</v>
      </c>
      <c r="AM7" s="14" t="s">
        <v>175</v>
      </c>
      <c r="AN7" s="14" t="s">
        <v>49</v>
      </c>
      <c r="AO7" s="15" t="s">
        <v>176</v>
      </c>
      <c r="AP7" s="15" t="s">
        <v>177</v>
      </c>
      <c r="AQ7" s="14" t="s">
        <v>178</v>
      </c>
      <c r="AR7" s="15" t="s">
        <v>179</v>
      </c>
    </row>
    <row r="8" spans="1:47" ht="15.75" customHeight="1">
      <c r="A8" s="9" t="s">
        <v>43</v>
      </c>
      <c r="B8" s="10" t="s">
        <v>44</v>
      </c>
      <c r="C8" s="11" t="s">
        <v>45</v>
      </c>
      <c r="D8" s="12" t="s">
        <v>180</v>
      </c>
      <c r="E8" s="13" t="s">
        <v>47</v>
      </c>
      <c r="F8" s="14" t="s">
        <v>181</v>
      </c>
      <c r="G8" s="14" t="s">
        <v>49</v>
      </c>
      <c r="H8" s="14" t="s">
        <v>182</v>
      </c>
      <c r="I8" s="14" t="s">
        <v>183</v>
      </c>
      <c r="J8" s="14" t="s">
        <v>184</v>
      </c>
      <c r="K8" s="14" t="s">
        <v>185</v>
      </c>
      <c r="L8" s="14" t="s">
        <v>186</v>
      </c>
      <c r="M8" s="14" t="s">
        <v>187</v>
      </c>
      <c r="N8" s="14" t="s">
        <v>188</v>
      </c>
      <c r="O8" s="14" t="s">
        <v>189</v>
      </c>
      <c r="P8" s="14" t="s">
        <v>190</v>
      </c>
      <c r="Q8" s="14" t="s">
        <v>191</v>
      </c>
      <c r="R8" s="14" t="s">
        <v>192</v>
      </c>
      <c r="S8" s="14" t="s">
        <v>193</v>
      </c>
      <c r="T8" s="14" t="s">
        <v>194</v>
      </c>
      <c r="U8" s="14" t="s">
        <v>161</v>
      </c>
      <c r="V8" s="14" t="s">
        <v>195</v>
      </c>
      <c r="W8" s="14" t="s">
        <v>196</v>
      </c>
      <c r="X8" s="14" t="s">
        <v>49</v>
      </c>
      <c r="Y8" s="14" t="s">
        <v>49</v>
      </c>
      <c r="Z8" s="15" t="s">
        <v>43</v>
      </c>
      <c r="AA8" s="14" t="s">
        <v>197</v>
      </c>
      <c r="AB8" s="14" t="s">
        <v>198</v>
      </c>
      <c r="AC8" s="14" t="s">
        <v>199</v>
      </c>
      <c r="AD8" s="14" t="s">
        <v>200</v>
      </c>
      <c r="AE8" s="14" t="s">
        <v>201</v>
      </c>
      <c r="AF8" s="14" t="s">
        <v>202</v>
      </c>
      <c r="AG8" s="14" t="s">
        <v>202</v>
      </c>
      <c r="AH8" s="14" t="s">
        <v>203</v>
      </c>
      <c r="AI8" s="14" t="s">
        <v>204</v>
      </c>
      <c r="AJ8" s="14" t="s">
        <v>205</v>
      </c>
      <c r="AK8" s="14" t="s">
        <v>206</v>
      </c>
      <c r="AL8" s="14" t="s">
        <v>207</v>
      </c>
      <c r="AM8" s="14" t="s">
        <v>208</v>
      </c>
      <c r="AN8" s="14" t="s">
        <v>209</v>
      </c>
      <c r="AO8" s="14" t="s">
        <v>210</v>
      </c>
      <c r="AP8" s="14" t="s">
        <v>211</v>
      </c>
      <c r="AQ8" s="14" t="s">
        <v>212</v>
      </c>
      <c r="AR8" s="15" t="s">
        <v>213</v>
      </c>
    </row>
    <row r="9" spans="1:47" ht="15.75" customHeight="1">
      <c r="A9" s="16" t="s">
        <v>214</v>
      </c>
      <c r="B9" s="17" t="s">
        <v>215</v>
      </c>
      <c r="C9" s="11" t="s">
        <v>216</v>
      </c>
      <c r="D9" s="16" t="s">
        <v>46</v>
      </c>
      <c r="E9" s="18" t="s">
        <v>47</v>
      </c>
      <c r="F9" s="19" t="s">
        <v>217</v>
      </c>
      <c r="G9" s="19" t="s">
        <v>218</v>
      </c>
      <c r="H9" s="19" t="s">
        <v>219</v>
      </c>
      <c r="I9" s="19" t="s">
        <v>220</v>
      </c>
      <c r="J9" s="19" t="s">
        <v>221</v>
      </c>
      <c r="K9" s="19" t="s">
        <v>222</v>
      </c>
      <c r="L9" s="19" t="s">
        <v>223</v>
      </c>
      <c r="M9" s="19" t="s">
        <v>224</v>
      </c>
      <c r="N9" s="19" t="s">
        <v>225</v>
      </c>
      <c r="O9" s="19" t="s">
        <v>226</v>
      </c>
      <c r="P9" s="20" t="s">
        <v>49</v>
      </c>
      <c r="Q9" s="19" t="s">
        <v>227</v>
      </c>
      <c r="R9" s="19" t="s">
        <v>228</v>
      </c>
      <c r="S9" s="19" t="s">
        <v>229</v>
      </c>
      <c r="T9" s="19" t="s">
        <v>230</v>
      </c>
      <c r="U9" s="19" t="s">
        <v>231</v>
      </c>
      <c r="V9" s="19" t="s">
        <v>232</v>
      </c>
      <c r="W9" s="19" t="s">
        <v>233</v>
      </c>
      <c r="X9" s="20" t="s">
        <v>49</v>
      </c>
      <c r="Y9" s="20" t="s">
        <v>49</v>
      </c>
      <c r="Z9" s="20" t="s">
        <v>49</v>
      </c>
      <c r="AA9" s="19" t="s">
        <v>234</v>
      </c>
      <c r="AB9" s="19" t="s">
        <v>235</v>
      </c>
      <c r="AC9" s="19" t="s">
        <v>236</v>
      </c>
      <c r="AD9" s="19" t="s">
        <v>237</v>
      </c>
      <c r="AE9" s="19" t="s">
        <v>238</v>
      </c>
      <c r="AF9" s="19" t="s">
        <v>239</v>
      </c>
      <c r="AG9" s="19" t="s">
        <v>240</v>
      </c>
      <c r="AH9" s="19" t="s">
        <v>241</v>
      </c>
      <c r="AI9" s="19" t="s">
        <v>242</v>
      </c>
      <c r="AJ9" s="19" t="s">
        <v>243</v>
      </c>
      <c r="AK9" s="19" t="s">
        <v>244</v>
      </c>
      <c r="AL9" s="19" t="s">
        <v>245</v>
      </c>
      <c r="AM9" s="19" t="s">
        <v>246</v>
      </c>
      <c r="AN9" s="19" t="s">
        <v>247</v>
      </c>
      <c r="AO9" s="20" t="s">
        <v>248</v>
      </c>
      <c r="AP9" s="20" t="s">
        <v>249</v>
      </c>
      <c r="AQ9" s="19" t="s">
        <v>250</v>
      </c>
      <c r="AR9" s="20" t="s">
        <v>251</v>
      </c>
      <c r="AS9" s="21"/>
      <c r="AT9" s="21"/>
      <c r="AU9" s="21"/>
    </row>
    <row r="10" spans="1:47" ht="15.75" customHeight="1">
      <c r="A10" s="16" t="s">
        <v>214</v>
      </c>
      <c r="B10" s="17" t="s">
        <v>215</v>
      </c>
      <c r="C10" s="11" t="s">
        <v>216</v>
      </c>
      <c r="D10" s="16" t="s">
        <v>82</v>
      </c>
      <c r="E10" s="18" t="s">
        <v>47</v>
      </c>
      <c r="F10" s="19" t="s">
        <v>252</v>
      </c>
      <c r="G10" s="19" t="s">
        <v>218</v>
      </c>
      <c r="H10" s="19" t="s">
        <v>219</v>
      </c>
      <c r="I10" s="19" t="s">
        <v>220</v>
      </c>
      <c r="J10" s="19" t="s">
        <v>221</v>
      </c>
      <c r="K10" s="19" t="s">
        <v>253</v>
      </c>
      <c r="L10" s="19" t="s">
        <v>253</v>
      </c>
      <c r="M10" s="19" t="s">
        <v>254</v>
      </c>
      <c r="N10" s="19" t="s">
        <v>255</v>
      </c>
      <c r="O10" s="19" t="s">
        <v>256</v>
      </c>
      <c r="P10" s="20" t="s">
        <v>49</v>
      </c>
      <c r="Q10" s="19" t="s">
        <v>257</v>
      </c>
      <c r="R10" s="19" t="s">
        <v>258</v>
      </c>
      <c r="S10" s="19" t="s">
        <v>259</v>
      </c>
      <c r="T10" s="19" t="s">
        <v>260</v>
      </c>
      <c r="U10" s="19" t="s">
        <v>261</v>
      </c>
      <c r="V10" s="19" t="s">
        <v>262</v>
      </c>
      <c r="W10" s="19" t="s">
        <v>263</v>
      </c>
      <c r="X10" s="20" t="s">
        <v>49</v>
      </c>
      <c r="Y10" s="20" t="s">
        <v>49</v>
      </c>
      <c r="Z10" s="20" t="s">
        <v>43</v>
      </c>
      <c r="AA10" s="19" t="s">
        <v>264</v>
      </c>
      <c r="AB10" s="19" t="s">
        <v>265</v>
      </c>
      <c r="AC10" s="19" t="s">
        <v>266</v>
      </c>
      <c r="AD10" s="19" t="s">
        <v>267</v>
      </c>
      <c r="AE10" s="19" t="s">
        <v>268</v>
      </c>
      <c r="AF10" s="19" t="s">
        <v>269</v>
      </c>
      <c r="AG10" s="19" t="s">
        <v>270</v>
      </c>
      <c r="AH10" s="19" t="s">
        <v>271</v>
      </c>
      <c r="AI10" s="19" t="s">
        <v>272</v>
      </c>
      <c r="AJ10" s="19" t="s">
        <v>273</v>
      </c>
      <c r="AK10" s="19" t="s">
        <v>274</v>
      </c>
      <c r="AL10" s="19" t="s">
        <v>275</v>
      </c>
      <c r="AM10" s="19" t="s">
        <v>276</v>
      </c>
      <c r="AN10" s="19" t="s">
        <v>277</v>
      </c>
      <c r="AO10" s="20" t="s">
        <v>278</v>
      </c>
      <c r="AP10" s="20" t="s">
        <v>279</v>
      </c>
      <c r="AQ10" s="19" t="s">
        <v>280</v>
      </c>
      <c r="AR10" s="20" t="s">
        <v>281</v>
      </c>
      <c r="AS10" s="21"/>
      <c r="AT10" s="21"/>
      <c r="AU10" s="21"/>
    </row>
    <row r="11" spans="1:47" ht="15.75" customHeight="1">
      <c r="A11" s="16" t="s">
        <v>214</v>
      </c>
      <c r="B11" s="17" t="s">
        <v>215</v>
      </c>
      <c r="C11" s="11" t="s">
        <v>216</v>
      </c>
      <c r="D11" s="16" t="s">
        <v>115</v>
      </c>
      <c r="E11" s="18" t="s">
        <v>47</v>
      </c>
      <c r="F11" s="19" t="s">
        <v>282</v>
      </c>
      <c r="G11" s="19" t="s">
        <v>218</v>
      </c>
      <c r="H11" s="19" t="s">
        <v>219</v>
      </c>
      <c r="I11" s="19" t="s">
        <v>220</v>
      </c>
      <c r="J11" s="19" t="s">
        <v>221</v>
      </c>
      <c r="K11" s="19" t="s">
        <v>283</v>
      </c>
      <c r="L11" s="19" t="s">
        <v>283</v>
      </c>
      <c r="M11" s="19" t="s">
        <v>284</v>
      </c>
      <c r="N11" s="19" t="s">
        <v>285</v>
      </c>
      <c r="O11" s="19" t="s">
        <v>286</v>
      </c>
      <c r="P11" s="20" t="s">
        <v>49</v>
      </c>
      <c r="Q11" s="19" t="s">
        <v>287</v>
      </c>
      <c r="R11" s="19" t="s">
        <v>288</v>
      </c>
      <c r="S11" s="19" t="s">
        <v>289</v>
      </c>
      <c r="T11" s="19" t="s">
        <v>290</v>
      </c>
      <c r="U11" s="19" t="s">
        <v>291</v>
      </c>
      <c r="V11" s="19" t="s">
        <v>292</v>
      </c>
      <c r="W11" s="19" t="s">
        <v>293</v>
      </c>
      <c r="X11" s="20" t="s">
        <v>49</v>
      </c>
      <c r="Y11" s="20" t="s">
        <v>49</v>
      </c>
      <c r="Z11" s="20" t="s">
        <v>43</v>
      </c>
      <c r="AA11" s="19" t="s">
        <v>294</v>
      </c>
      <c r="AB11" s="19" t="s">
        <v>295</v>
      </c>
      <c r="AC11" s="19" t="s">
        <v>296</v>
      </c>
      <c r="AD11" s="19" t="s">
        <v>297</v>
      </c>
      <c r="AE11" s="19" t="s">
        <v>298</v>
      </c>
      <c r="AF11" s="19" t="s">
        <v>299</v>
      </c>
      <c r="AG11" s="19" t="s">
        <v>300</v>
      </c>
      <c r="AH11" s="19" t="s">
        <v>301</v>
      </c>
      <c r="AI11" s="19" t="s">
        <v>302</v>
      </c>
      <c r="AJ11" s="19" t="s">
        <v>303</v>
      </c>
      <c r="AK11" s="19" t="s">
        <v>304</v>
      </c>
      <c r="AL11" s="19" t="s">
        <v>305</v>
      </c>
      <c r="AM11" s="19" t="s">
        <v>306</v>
      </c>
      <c r="AN11" s="19" t="s">
        <v>307</v>
      </c>
      <c r="AO11" s="20" t="s">
        <v>308</v>
      </c>
      <c r="AP11" s="20" t="s">
        <v>309</v>
      </c>
      <c r="AQ11" s="19" t="s">
        <v>310</v>
      </c>
      <c r="AR11" s="20" t="s">
        <v>311</v>
      </c>
      <c r="AS11" s="21"/>
      <c r="AT11" s="21"/>
      <c r="AU11" s="21"/>
    </row>
    <row r="12" spans="1:47" ht="15.75" customHeight="1">
      <c r="A12" s="16" t="s">
        <v>214</v>
      </c>
      <c r="B12" s="17" t="s">
        <v>215</v>
      </c>
      <c r="C12" s="11" t="s">
        <v>216</v>
      </c>
      <c r="D12" s="16" t="s">
        <v>148</v>
      </c>
      <c r="E12" s="18" t="s">
        <v>47</v>
      </c>
      <c r="F12" s="19" t="s">
        <v>312</v>
      </c>
      <c r="G12" s="19" t="s">
        <v>218</v>
      </c>
      <c r="H12" s="19" t="s">
        <v>313</v>
      </c>
      <c r="I12" s="19" t="s">
        <v>314</v>
      </c>
      <c r="J12" s="19" t="s">
        <v>221</v>
      </c>
      <c r="K12" s="19" t="s">
        <v>315</v>
      </c>
      <c r="L12" s="19" t="s">
        <v>316</v>
      </c>
      <c r="M12" s="19" t="s">
        <v>317</v>
      </c>
      <c r="N12" s="19" t="s">
        <v>318</v>
      </c>
      <c r="O12" s="19" t="s">
        <v>319</v>
      </c>
      <c r="P12" s="20" t="s">
        <v>49</v>
      </c>
      <c r="Q12" s="19" t="s">
        <v>320</v>
      </c>
      <c r="R12" s="19" t="s">
        <v>321</v>
      </c>
      <c r="S12" s="19" t="s">
        <v>322</v>
      </c>
      <c r="T12" s="19" t="s">
        <v>323</v>
      </c>
      <c r="U12" s="19" t="s">
        <v>324</v>
      </c>
      <c r="V12" s="19" t="s">
        <v>325</v>
      </c>
      <c r="W12" s="19" t="s">
        <v>326</v>
      </c>
      <c r="X12" s="20" t="s">
        <v>49</v>
      </c>
      <c r="Y12" s="20" t="s">
        <v>49</v>
      </c>
      <c r="Z12" s="20" t="s">
        <v>49</v>
      </c>
      <c r="AA12" s="19" t="s">
        <v>327</v>
      </c>
      <c r="AB12" s="19" t="s">
        <v>328</v>
      </c>
      <c r="AC12" s="19" t="s">
        <v>329</v>
      </c>
      <c r="AD12" s="19" t="s">
        <v>330</v>
      </c>
      <c r="AE12" s="19" t="s">
        <v>331</v>
      </c>
      <c r="AF12" s="19" t="s">
        <v>332</v>
      </c>
      <c r="AG12" s="19" t="s">
        <v>333</v>
      </c>
      <c r="AH12" s="19" t="s">
        <v>334</v>
      </c>
      <c r="AI12" s="19" t="s">
        <v>335</v>
      </c>
      <c r="AJ12" s="19" t="s">
        <v>336</v>
      </c>
      <c r="AK12" s="19" t="s">
        <v>337</v>
      </c>
      <c r="AL12" s="19" t="s">
        <v>338</v>
      </c>
      <c r="AM12" s="19" t="s">
        <v>339</v>
      </c>
      <c r="AN12" s="19" t="s">
        <v>340</v>
      </c>
      <c r="AO12" s="20" t="s">
        <v>341</v>
      </c>
      <c r="AP12" s="20" t="s">
        <v>342</v>
      </c>
      <c r="AQ12" s="19" t="s">
        <v>343</v>
      </c>
      <c r="AR12" s="20" t="s">
        <v>344</v>
      </c>
      <c r="AS12" s="21"/>
      <c r="AT12" s="21"/>
      <c r="AU12" s="21"/>
    </row>
    <row r="13" spans="1:47" ht="15.75" customHeight="1">
      <c r="A13" s="16" t="s">
        <v>214</v>
      </c>
      <c r="B13" s="17" t="s">
        <v>215</v>
      </c>
      <c r="C13" s="11" t="s">
        <v>216</v>
      </c>
      <c r="D13" s="16" t="s">
        <v>180</v>
      </c>
      <c r="E13" s="18" t="s">
        <v>47</v>
      </c>
      <c r="F13" s="19" t="s">
        <v>345</v>
      </c>
      <c r="G13" s="19" t="s">
        <v>218</v>
      </c>
      <c r="H13" s="19" t="s">
        <v>346</v>
      </c>
      <c r="I13" s="19" t="s">
        <v>347</v>
      </c>
      <c r="J13" s="19" t="s">
        <v>221</v>
      </c>
      <c r="K13" s="19" t="s">
        <v>348</v>
      </c>
      <c r="L13" s="19" t="s">
        <v>348</v>
      </c>
      <c r="M13" s="19" t="s">
        <v>349</v>
      </c>
      <c r="N13" s="19" t="s">
        <v>350</v>
      </c>
      <c r="O13" s="19" t="s">
        <v>351</v>
      </c>
      <c r="P13" s="20" t="s">
        <v>49</v>
      </c>
      <c r="Q13" s="19" t="s">
        <v>352</v>
      </c>
      <c r="R13" s="19" t="s">
        <v>353</v>
      </c>
      <c r="S13" s="19" t="s">
        <v>354</v>
      </c>
      <c r="T13" s="19" t="s">
        <v>355</v>
      </c>
      <c r="U13" s="19" t="s">
        <v>356</v>
      </c>
      <c r="V13" s="19" t="s">
        <v>357</v>
      </c>
      <c r="W13" s="19" t="s">
        <v>358</v>
      </c>
      <c r="X13" s="19" t="s">
        <v>49</v>
      </c>
      <c r="Y13" s="20" t="s">
        <v>49</v>
      </c>
      <c r="Z13" s="20" t="s">
        <v>43</v>
      </c>
      <c r="AA13" s="19" t="s">
        <v>359</v>
      </c>
      <c r="AB13" s="19" t="s">
        <v>360</v>
      </c>
      <c r="AC13" s="19" t="s">
        <v>361</v>
      </c>
      <c r="AD13" s="19" t="s">
        <v>362</v>
      </c>
      <c r="AE13" s="19" t="s">
        <v>363</v>
      </c>
      <c r="AF13" s="19" t="s">
        <v>364</v>
      </c>
      <c r="AG13" s="19" t="s">
        <v>365</v>
      </c>
      <c r="AH13" s="19" t="s">
        <v>366</v>
      </c>
      <c r="AI13" s="19" t="s">
        <v>367</v>
      </c>
      <c r="AJ13" s="19" t="s">
        <v>368</v>
      </c>
      <c r="AK13" s="19" t="s">
        <v>369</v>
      </c>
      <c r="AL13" s="19" t="s">
        <v>370</v>
      </c>
      <c r="AM13" s="19" t="s">
        <v>371</v>
      </c>
      <c r="AN13" s="19" t="s">
        <v>372</v>
      </c>
      <c r="AO13" s="20" t="s">
        <v>373</v>
      </c>
      <c r="AP13" s="20" t="s">
        <v>374</v>
      </c>
      <c r="AQ13" s="19" t="s">
        <v>375</v>
      </c>
      <c r="AR13" s="20" t="s">
        <v>376</v>
      </c>
      <c r="AS13" s="21"/>
      <c r="AT13" s="21"/>
      <c r="AU13" s="21"/>
    </row>
    <row r="14" spans="1:47" ht="15.75" customHeight="1">
      <c r="A14" s="9" t="s">
        <v>377</v>
      </c>
      <c r="B14" s="10" t="s">
        <v>378</v>
      </c>
      <c r="C14" s="11" t="s">
        <v>379</v>
      </c>
      <c r="D14" s="12" t="s">
        <v>46</v>
      </c>
      <c r="E14" s="13" t="s">
        <v>47</v>
      </c>
      <c r="F14" s="14" t="s">
        <v>380</v>
      </c>
      <c r="G14" s="14" t="s">
        <v>49</v>
      </c>
      <c r="H14" s="14" t="s">
        <v>381</v>
      </c>
      <c r="I14" s="14" t="s">
        <v>382</v>
      </c>
      <c r="J14" s="14" t="s">
        <v>383</v>
      </c>
      <c r="K14" s="14" t="s">
        <v>384</v>
      </c>
      <c r="L14" s="14" t="s">
        <v>384</v>
      </c>
      <c r="M14" s="14" t="s">
        <v>385</v>
      </c>
      <c r="N14" s="14" t="s">
        <v>386</v>
      </c>
      <c r="O14" s="14" t="s">
        <v>387</v>
      </c>
      <c r="P14" s="14" t="s">
        <v>388</v>
      </c>
      <c r="Q14" s="14" t="s">
        <v>389</v>
      </c>
      <c r="R14" s="14" t="s">
        <v>390</v>
      </c>
      <c r="S14" s="14" t="s">
        <v>391</v>
      </c>
      <c r="T14" s="14" t="s">
        <v>392</v>
      </c>
      <c r="U14" s="14" t="s">
        <v>393</v>
      </c>
      <c r="V14" s="14" t="s">
        <v>394</v>
      </c>
      <c r="W14" s="14" t="s">
        <v>395</v>
      </c>
      <c r="X14" s="15" t="s">
        <v>49</v>
      </c>
      <c r="Y14" s="15" t="s">
        <v>49</v>
      </c>
      <c r="Z14" s="14" t="s">
        <v>43</v>
      </c>
      <c r="AA14" s="14" t="s">
        <v>396</v>
      </c>
      <c r="AB14" s="14" t="s">
        <v>397</v>
      </c>
      <c r="AC14" s="14" t="e">
        <f>J14*39*1000</f>
        <v>#VALUE!</v>
      </c>
      <c r="AD14" s="14" t="s">
        <v>398</v>
      </c>
      <c r="AE14" s="14" t="s">
        <v>399</v>
      </c>
      <c r="AF14" s="14" t="s">
        <v>400</v>
      </c>
      <c r="AG14" s="14" t="s">
        <v>401</v>
      </c>
      <c r="AH14" s="14" t="s">
        <v>402</v>
      </c>
      <c r="AI14" s="15" t="s">
        <v>49</v>
      </c>
      <c r="AJ14" s="14" t="s">
        <v>403</v>
      </c>
      <c r="AK14" s="14" t="s">
        <v>404</v>
      </c>
      <c r="AL14" s="14" t="s">
        <v>405</v>
      </c>
      <c r="AM14" s="14" t="s">
        <v>406</v>
      </c>
      <c r="AN14" s="14" t="s">
        <v>407</v>
      </c>
      <c r="AO14" s="15" t="s">
        <v>408</v>
      </c>
      <c r="AP14" s="15" t="s">
        <v>409</v>
      </c>
      <c r="AQ14" s="14" t="s">
        <v>410</v>
      </c>
      <c r="AR14" s="15" t="s">
        <v>411</v>
      </c>
    </row>
    <row r="15" spans="1:47" ht="15.75" customHeight="1">
      <c r="A15" s="9" t="s">
        <v>377</v>
      </c>
      <c r="B15" s="10" t="s">
        <v>378</v>
      </c>
      <c r="C15" s="11" t="s">
        <v>379</v>
      </c>
      <c r="D15" s="12" t="s">
        <v>82</v>
      </c>
      <c r="E15" s="13" t="s">
        <v>47</v>
      </c>
      <c r="F15" s="14" t="s">
        <v>412</v>
      </c>
      <c r="G15" s="14" t="s">
        <v>49</v>
      </c>
      <c r="H15" s="14" t="s">
        <v>381</v>
      </c>
      <c r="I15" s="14" t="s">
        <v>413</v>
      </c>
      <c r="J15" s="14" t="s">
        <v>383</v>
      </c>
      <c r="K15" s="14" t="s">
        <v>414</v>
      </c>
      <c r="L15" s="14" t="s">
        <v>415</v>
      </c>
      <c r="M15" s="14" t="s">
        <v>416</v>
      </c>
      <c r="N15" s="14" t="s">
        <v>417</v>
      </c>
      <c r="O15" s="14" t="s">
        <v>418</v>
      </c>
      <c r="P15" s="14" t="s">
        <v>419</v>
      </c>
      <c r="Q15" s="14" t="s">
        <v>420</v>
      </c>
      <c r="R15" s="14" t="s">
        <v>421</v>
      </c>
      <c r="S15" s="14" t="s">
        <v>422</v>
      </c>
      <c r="T15" s="14" t="s">
        <v>423</v>
      </c>
      <c r="U15" s="14" t="s">
        <v>424</v>
      </c>
      <c r="V15" s="14" t="s">
        <v>425</v>
      </c>
      <c r="W15" s="14" t="s">
        <v>426</v>
      </c>
      <c r="X15" s="15" t="s">
        <v>49</v>
      </c>
      <c r="Y15" s="15" t="s">
        <v>49</v>
      </c>
      <c r="Z15" s="14" t="s">
        <v>43</v>
      </c>
      <c r="AA15" s="14" t="s">
        <v>427</v>
      </c>
      <c r="AB15" s="14" t="s">
        <v>428</v>
      </c>
      <c r="AC15" s="14" t="e">
        <f>J15*85*1000</f>
        <v>#VALUE!</v>
      </c>
      <c r="AD15" s="14" t="s">
        <v>429</v>
      </c>
      <c r="AE15" s="14" t="s">
        <v>430</v>
      </c>
      <c r="AF15" s="14" t="s">
        <v>431</v>
      </c>
      <c r="AG15" s="14" t="s">
        <v>432</v>
      </c>
      <c r="AH15" s="14" t="s">
        <v>433</v>
      </c>
      <c r="AI15" s="15" t="s">
        <v>49</v>
      </c>
      <c r="AJ15" s="14" t="s">
        <v>434</v>
      </c>
      <c r="AK15" s="14" t="s">
        <v>435</v>
      </c>
      <c r="AL15" s="14" t="s">
        <v>436</v>
      </c>
      <c r="AM15" s="14" t="s">
        <v>437</v>
      </c>
      <c r="AN15" s="14" t="s">
        <v>438</v>
      </c>
      <c r="AO15" s="15" t="s">
        <v>439</v>
      </c>
      <c r="AP15" s="15" t="s">
        <v>440</v>
      </c>
      <c r="AQ15" s="14" t="s">
        <v>441</v>
      </c>
      <c r="AR15" s="15" t="s">
        <v>81</v>
      </c>
    </row>
    <row r="16" spans="1:47" ht="15.75" customHeight="1">
      <c r="A16" s="9" t="s">
        <v>377</v>
      </c>
      <c r="B16" s="10" t="s">
        <v>378</v>
      </c>
      <c r="C16" s="11" t="s">
        <v>379</v>
      </c>
      <c r="D16" s="12" t="s">
        <v>115</v>
      </c>
      <c r="E16" s="13" t="s">
        <v>47</v>
      </c>
      <c r="F16" s="14" t="s">
        <v>442</v>
      </c>
      <c r="G16" s="14" t="s">
        <v>49</v>
      </c>
      <c r="H16" s="14" t="s">
        <v>381</v>
      </c>
      <c r="I16" s="14" t="s">
        <v>443</v>
      </c>
      <c r="J16" s="14" t="s">
        <v>444</v>
      </c>
      <c r="K16" s="14" t="s">
        <v>445</v>
      </c>
      <c r="L16" s="14" t="s">
        <v>445</v>
      </c>
      <c r="M16" s="14" t="s">
        <v>446</v>
      </c>
      <c r="N16" s="14" t="s">
        <v>447</v>
      </c>
      <c r="O16" s="14" t="s">
        <v>448</v>
      </c>
      <c r="P16" s="14" t="s">
        <v>449</v>
      </c>
      <c r="Q16" s="14" t="s">
        <v>450</v>
      </c>
      <c r="R16" s="14" t="s">
        <v>451</v>
      </c>
      <c r="S16" s="14" t="s">
        <v>452</v>
      </c>
      <c r="T16" s="14" t="s">
        <v>453</v>
      </c>
      <c r="U16" s="14" t="s">
        <v>454</v>
      </c>
      <c r="V16" s="14" t="s">
        <v>455</v>
      </c>
      <c r="W16" s="14" t="s">
        <v>456</v>
      </c>
      <c r="X16" s="15" t="s">
        <v>49</v>
      </c>
      <c r="Y16" s="15" t="s">
        <v>49</v>
      </c>
      <c r="Z16" s="14" t="s">
        <v>43</v>
      </c>
      <c r="AA16" s="14" t="s">
        <v>457</v>
      </c>
      <c r="AB16" s="14" t="s">
        <v>458</v>
      </c>
      <c r="AC16" s="14" t="e">
        <f>J16*41.1*1000</f>
        <v>#VALUE!</v>
      </c>
      <c r="AD16" s="14" t="s">
        <v>459</v>
      </c>
      <c r="AE16" s="14" t="s">
        <v>460</v>
      </c>
      <c r="AF16" s="14" t="s">
        <v>461</v>
      </c>
      <c r="AG16" s="14" t="s">
        <v>462</v>
      </c>
      <c r="AH16" s="14" t="s">
        <v>463</v>
      </c>
      <c r="AI16" s="15" t="s">
        <v>49</v>
      </c>
      <c r="AJ16" s="14" t="s">
        <v>464</v>
      </c>
      <c r="AK16" s="14" t="s">
        <v>465</v>
      </c>
      <c r="AL16" s="14" t="s">
        <v>466</v>
      </c>
      <c r="AM16" s="14" t="s">
        <v>467</v>
      </c>
      <c r="AN16" s="14" t="s">
        <v>468</v>
      </c>
      <c r="AO16" s="15" t="s">
        <v>469</v>
      </c>
      <c r="AP16" s="15" t="s">
        <v>470</v>
      </c>
      <c r="AQ16" s="14" t="s">
        <v>471</v>
      </c>
      <c r="AR16" s="15" t="s">
        <v>114</v>
      </c>
    </row>
    <row r="17" spans="1:47" ht="15.75" customHeight="1">
      <c r="A17" s="9" t="s">
        <v>377</v>
      </c>
      <c r="B17" s="10" t="s">
        <v>378</v>
      </c>
      <c r="C17" s="11" t="s">
        <v>379</v>
      </c>
      <c r="D17" s="12" t="s">
        <v>148</v>
      </c>
      <c r="E17" s="13" t="s">
        <v>47</v>
      </c>
      <c r="F17" s="14" t="s">
        <v>472</v>
      </c>
      <c r="G17" s="14" t="s">
        <v>49</v>
      </c>
      <c r="H17" s="14" t="s">
        <v>381</v>
      </c>
      <c r="I17" s="14" t="s">
        <v>473</v>
      </c>
      <c r="J17" s="14" t="s">
        <v>444</v>
      </c>
      <c r="K17" s="14" t="s">
        <v>474</v>
      </c>
      <c r="L17" s="14" t="s">
        <v>474</v>
      </c>
      <c r="M17" s="14" t="s">
        <v>475</v>
      </c>
      <c r="N17" s="14" t="s">
        <v>476</v>
      </c>
      <c r="O17" s="14" t="s">
        <v>477</v>
      </c>
      <c r="P17" s="14" t="s">
        <v>478</v>
      </c>
      <c r="Q17" s="14" t="s">
        <v>479</v>
      </c>
      <c r="R17" s="14" t="s">
        <v>480</v>
      </c>
      <c r="S17" s="14" t="s">
        <v>481</v>
      </c>
      <c r="T17" s="14" t="s">
        <v>482</v>
      </c>
      <c r="U17" s="14" t="s">
        <v>483</v>
      </c>
      <c r="V17" s="14" t="s">
        <v>484</v>
      </c>
      <c r="W17" s="14" t="s">
        <v>485</v>
      </c>
      <c r="X17" s="15" t="s">
        <v>49</v>
      </c>
      <c r="Y17" s="15" t="s">
        <v>49</v>
      </c>
      <c r="Z17" s="14" t="s">
        <v>43</v>
      </c>
      <c r="AA17" s="14" t="s">
        <v>486</v>
      </c>
      <c r="AB17" s="14" t="s">
        <v>487</v>
      </c>
      <c r="AC17" s="14" t="e">
        <f>J17*48*1000</f>
        <v>#VALUE!</v>
      </c>
      <c r="AD17" s="14" t="s">
        <v>488</v>
      </c>
      <c r="AE17" s="14" t="s">
        <v>489</v>
      </c>
      <c r="AF17" s="14" t="s">
        <v>490</v>
      </c>
      <c r="AG17" s="14" t="s">
        <v>491</v>
      </c>
      <c r="AH17" s="14" t="s">
        <v>492</v>
      </c>
      <c r="AI17" s="14" t="s">
        <v>493</v>
      </c>
      <c r="AJ17" s="14" t="s">
        <v>494</v>
      </c>
      <c r="AK17" s="14" t="s">
        <v>495</v>
      </c>
      <c r="AL17" s="14" t="s">
        <v>496</v>
      </c>
      <c r="AM17" s="14" t="s">
        <v>497</v>
      </c>
      <c r="AN17" s="14" t="s">
        <v>498</v>
      </c>
      <c r="AO17" s="15" t="s">
        <v>499</v>
      </c>
      <c r="AP17" s="14" t="s">
        <v>500</v>
      </c>
      <c r="AQ17" s="14" t="s">
        <v>501</v>
      </c>
      <c r="AR17" s="15" t="s">
        <v>147</v>
      </c>
    </row>
    <row r="18" spans="1:47" ht="15.75" customHeight="1">
      <c r="A18" s="9" t="s">
        <v>377</v>
      </c>
      <c r="B18" s="10" t="s">
        <v>378</v>
      </c>
      <c r="C18" s="11" t="s">
        <v>379</v>
      </c>
      <c r="D18" s="12" t="s">
        <v>180</v>
      </c>
      <c r="E18" s="13" t="s">
        <v>47</v>
      </c>
      <c r="F18" s="14" t="s">
        <v>502</v>
      </c>
      <c r="G18" s="14" t="s">
        <v>49</v>
      </c>
      <c r="H18" s="14" t="s">
        <v>381</v>
      </c>
      <c r="I18" s="14" t="s">
        <v>503</v>
      </c>
      <c r="J18" s="14" t="s">
        <v>504</v>
      </c>
      <c r="K18" s="14" t="s">
        <v>505</v>
      </c>
      <c r="L18" s="14" t="s">
        <v>505</v>
      </c>
      <c r="M18" s="14" t="s">
        <v>506</v>
      </c>
      <c r="N18" s="14" t="s">
        <v>507</v>
      </c>
      <c r="O18" s="14" t="s">
        <v>508</v>
      </c>
      <c r="P18" s="14" t="s">
        <v>509</v>
      </c>
      <c r="Q18" s="14" t="s">
        <v>510</v>
      </c>
      <c r="R18" s="14" t="s">
        <v>511</v>
      </c>
      <c r="S18" s="14" t="s">
        <v>512</v>
      </c>
      <c r="T18" s="14" t="s">
        <v>513</v>
      </c>
      <c r="U18" s="14" t="s">
        <v>514</v>
      </c>
      <c r="V18" s="14" t="s">
        <v>515</v>
      </c>
      <c r="W18" s="14" t="s">
        <v>516</v>
      </c>
      <c r="X18" s="15" t="s">
        <v>49</v>
      </c>
      <c r="Y18" s="15" t="s">
        <v>49</v>
      </c>
      <c r="Z18" s="14" t="s">
        <v>43</v>
      </c>
      <c r="AA18" s="14" t="s">
        <v>517</v>
      </c>
      <c r="AB18" s="14" t="s">
        <v>518</v>
      </c>
      <c r="AC18" s="14" t="e">
        <f>J18*28.3*1000</f>
        <v>#VALUE!</v>
      </c>
      <c r="AD18" s="14" t="s">
        <v>519</v>
      </c>
      <c r="AE18" s="14" t="s">
        <v>520</v>
      </c>
      <c r="AF18" s="14" t="s">
        <v>521</v>
      </c>
      <c r="AG18" s="14" t="s">
        <v>522</v>
      </c>
      <c r="AH18" s="14" t="s">
        <v>523</v>
      </c>
      <c r="AI18" s="14" t="s">
        <v>524</v>
      </c>
      <c r="AJ18" s="14" t="s">
        <v>525</v>
      </c>
      <c r="AK18" s="14" t="s">
        <v>526</v>
      </c>
      <c r="AL18" s="14" t="s">
        <v>527</v>
      </c>
      <c r="AM18" s="14" t="s">
        <v>528</v>
      </c>
      <c r="AN18" s="14" t="s">
        <v>529</v>
      </c>
      <c r="AO18" s="15" t="s">
        <v>530</v>
      </c>
      <c r="AP18" s="14" t="s">
        <v>531</v>
      </c>
      <c r="AQ18" s="14" t="s">
        <v>532</v>
      </c>
      <c r="AR18" s="15" t="s">
        <v>179</v>
      </c>
    </row>
    <row r="19" spans="1:47" ht="15.75" customHeight="1">
      <c r="A19" s="16" t="s">
        <v>533</v>
      </c>
      <c r="B19" s="17" t="s">
        <v>534</v>
      </c>
      <c r="C19" s="11" t="s">
        <v>535</v>
      </c>
      <c r="D19" s="16" t="s">
        <v>46</v>
      </c>
      <c r="E19" s="18" t="s">
        <v>47</v>
      </c>
      <c r="F19" s="19" t="s">
        <v>536</v>
      </c>
      <c r="G19" s="19" t="s">
        <v>49</v>
      </c>
      <c r="H19" s="19" t="s">
        <v>537</v>
      </c>
      <c r="I19" s="19" t="s">
        <v>538</v>
      </c>
      <c r="J19" s="19" t="s">
        <v>539</v>
      </c>
      <c r="K19" s="19" t="s">
        <v>540</v>
      </c>
      <c r="L19" s="19" t="s">
        <v>541</v>
      </c>
      <c r="M19" s="19" t="s">
        <v>542</v>
      </c>
      <c r="N19" s="19" t="s">
        <v>543</v>
      </c>
      <c r="O19" s="19" t="s">
        <v>544</v>
      </c>
      <c r="P19" s="20" t="s">
        <v>49</v>
      </c>
      <c r="Q19" s="19" t="s">
        <v>545</v>
      </c>
      <c r="R19" s="19" t="s">
        <v>546</v>
      </c>
      <c r="S19" s="19" t="s">
        <v>547</v>
      </c>
      <c r="T19" s="19" t="s">
        <v>548</v>
      </c>
      <c r="U19" s="19" t="s">
        <v>549</v>
      </c>
      <c r="V19" s="19" t="s">
        <v>550</v>
      </c>
      <c r="W19" s="19" t="s">
        <v>551</v>
      </c>
      <c r="X19" s="20" t="s">
        <v>49</v>
      </c>
      <c r="Y19" s="20" t="s">
        <v>43</v>
      </c>
      <c r="Z19" s="20" t="s">
        <v>43</v>
      </c>
      <c r="AA19" s="19" t="s">
        <v>552</v>
      </c>
      <c r="AB19" s="19" t="s">
        <v>553</v>
      </c>
      <c r="AC19" s="19" t="s">
        <v>554</v>
      </c>
      <c r="AD19" s="19" t="s">
        <v>555</v>
      </c>
      <c r="AE19" s="19" t="s">
        <v>556</v>
      </c>
      <c r="AF19" s="19" t="s">
        <v>557</v>
      </c>
      <c r="AG19" s="19" t="s">
        <v>558</v>
      </c>
      <c r="AH19" s="19" t="s">
        <v>559</v>
      </c>
      <c r="AI19" s="20" t="s">
        <v>49</v>
      </c>
      <c r="AJ19" s="19" t="s">
        <v>560</v>
      </c>
      <c r="AK19" s="19" t="s">
        <v>555</v>
      </c>
      <c r="AL19" s="19" t="s">
        <v>561</v>
      </c>
      <c r="AM19" s="19" t="s">
        <v>562</v>
      </c>
      <c r="AN19" s="19" t="s">
        <v>563</v>
      </c>
      <c r="AO19" s="20" t="s">
        <v>564</v>
      </c>
      <c r="AP19" s="20" t="s">
        <v>565</v>
      </c>
      <c r="AQ19" s="19" t="s">
        <v>566</v>
      </c>
      <c r="AR19" s="20" t="s">
        <v>567</v>
      </c>
    </row>
    <row r="20" spans="1:47" ht="15.75" customHeight="1">
      <c r="A20" s="16" t="s">
        <v>533</v>
      </c>
      <c r="B20" s="17" t="s">
        <v>534</v>
      </c>
      <c r="C20" s="11" t="s">
        <v>535</v>
      </c>
      <c r="D20" s="16" t="s">
        <v>82</v>
      </c>
      <c r="E20" s="18" t="s">
        <v>47</v>
      </c>
      <c r="F20" s="19" t="s">
        <v>536</v>
      </c>
      <c r="G20" s="19" t="s">
        <v>49</v>
      </c>
      <c r="H20" s="19" t="s">
        <v>220</v>
      </c>
      <c r="I20" s="19" t="s">
        <v>568</v>
      </c>
      <c r="J20" s="19" t="s">
        <v>539</v>
      </c>
      <c r="K20" s="19" t="s">
        <v>569</v>
      </c>
      <c r="L20" s="19" t="s">
        <v>570</v>
      </c>
      <c r="M20" s="19" t="s">
        <v>571</v>
      </c>
      <c r="N20" s="19" t="s">
        <v>572</v>
      </c>
      <c r="O20" s="19" t="s">
        <v>573</v>
      </c>
      <c r="P20" s="20" t="s">
        <v>49</v>
      </c>
      <c r="Q20" s="19" t="s">
        <v>574</v>
      </c>
      <c r="R20" s="19" t="s">
        <v>575</v>
      </c>
      <c r="S20" s="19" t="s">
        <v>576</v>
      </c>
      <c r="T20" s="19" t="s">
        <v>577</v>
      </c>
      <c r="U20" s="19" t="s">
        <v>578</v>
      </c>
      <c r="V20" s="19" t="s">
        <v>579</v>
      </c>
      <c r="W20" s="19" t="s">
        <v>580</v>
      </c>
      <c r="X20" s="20" t="s">
        <v>49</v>
      </c>
      <c r="Y20" s="20" t="s">
        <v>49</v>
      </c>
      <c r="Z20" s="20" t="s">
        <v>43</v>
      </c>
      <c r="AA20" s="19" t="s">
        <v>581</v>
      </c>
      <c r="AB20" s="19" t="s">
        <v>582</v>
      </c>
      <c r="AC20" s="19" t="s">
        <v>583</v>
      </c>
      <c r="AD20" s="19" t="s">
        <v>584</v>
      </c>
      <c r="AE20" s="19" t="s">
        <v>585</v>
      </c>
      <c r="AF20" s="19" t="s">
        <v>586</v>
      </c>
      <c r="AG20" s="19" t="s">
        <v>587</v>
      </c>
      <c r="AH20" s="19" t="s">
        <v>588</v>
      </c>
      <c r="AI20" s="20" t="s">
        <v>49</v>
      </c>
      <c r="AJ20" s="19" t="s">
        <v>589</v>
      </c>
      <c r="AK20" s="19" t="s">
        <v>584</v>
      </c>
      <c r="AL20" s="19" t="s">
        <v>590</v>
      </c>
      <c r="AM20" s="19" t="s">
        <v>591</v>
      </c>
      <c r="AN20" s="19" t="s">
        <v>592</v>
      </c>
      <c r="AO20" s="20" t="s">
        <v>593</v>
      </c>
      <c r="AP20" s="20" t="s">
        <v>594</v>
      </c>
      <c r="AQ20" s="19" t="s">
        <v>595</v>
      </c>
      <c r="AR20" s="20" t="s">
        <v>596</v>
      </c>
    </row>
    <row r="21" spans="1:47" ht="15.75" customHeight="1">
      <c r="A21" s="16" t="s">
        <v>533</v>
      </c>
      <c r="B21" s="17" t="s">
        <v>534</v>
      </c>
      <c r="C21" s="11" t="s">
        <v>535</v>
      </c>
      <c r="D21" s="16" t="s">
        <v>115</v>
      </c>
      <c r="E21" s="18" t="s">
        <v>47</v>
      </c>
      <c r="F21" s="19" t="s">
        <v>597</v>
      </c>
      <c r="G21" s="19" t="s">
        <v>49</v>
      </c>
      <c r="H21" s="19" t="s">
        <v>598</v>
      </c>
      <c r="I21" s="19" t="s">
        <v>370</v>
      </c>
      <c r="J21" s="19" t="s">
        <v>539</v>
      </c>
      <c r="K21" s="19" t="s">
        <v>599</v>
      </c>
      <c r="L21" s="19" t="s">
        <v>600</v>
      </c>
      <c r="M21" s="19" t="s">
        <v>601</v>
      </c>
      <c r="N21" s="19" t="s">
        <v>602</v>
      </c>
      <c r="O21" s="19" t="s">
        <v>603</v>
      </c>
      <c r="P21" s="20" t="s">
        <v>49</v>
      </c>
      <c r="Q21" s="19" t="s">
        <v>604</v>
      </c>
      <c r="R21" s="19" t="s">
        <v>605</v>
      </c>
      <c r="S21" s="19" t="s">
        <v>606</v>
      </c>
      <c r="T21" s="19" t="s">
        <v>607</v>
      </c>
      <c r="U21" s="19" t="s">
        <v>608</v>
      </c>
      <c r="V21" s="19" t="s">
        <v>609</v>
      </c>
      <c r="W21" s="19" t="s">
        <v>610</v>
      </c>
      <c r="X21" s="20" t="s">
        <v>49</v>
      </c>
      <c r="Y21" s="20" t="s">
        <v>49</v>
      </c>
      <c r="Z21" s="20" t="s">
        <v>43</v>
      </c>
      <c r="AA21" s="19" t="s">
        <v>611</v>
      </c>
      <c r="AB21" s="19" t="s">
        <v>612</v>
      </c>
      <c r="AC21" s="19" t="s">
        <v>613</v>
      </c>
      <c r="AD21" s="19" t="s">
        <v>614</v>
      </c>
      <c r="AE21" s="19" t="s">
        <v>615</v>
      </c>
      <c r="AF21" s="19" t="s">
        <v>616</v>
      </c>
      <c r="AG21" s="19" t="s">
        <v>617</v>
      </c>
      <c r="AH21" s="19" t="s">
        <v>618</v>
      </c>
      <c r="AI21" s="20" t="s">
        <v>49</v>
      </c>
      <c r="AJ21" s="19" t="s">
        <v>619</v>
      </c>
      <c r="AK21" s="19" t="s">
        <v>614</v>
      </c>
      <c r="AL21" s="19" t="s">
        <v>620</v>
      </c>
      <c r="AM21" s="19" t="s">
        <v>621</v>
      </c>
      <c r="AN21" s="19" t="s">
        <v>622</v>
      </c>
      <c r="AO21" s="20" t="s">
        <v>623</v>
      </c>
      <c r="AP21" s="20" t="s">
        <v>624</v>
      </c>
      <c r="AQ21" s="19" t="s">
        <v>625</v>
      </c>
      <c r="AR21" s="20" t="s">
        <v>626</v>
      </c>
    </row>
    <row r="22" spans="1:47" ht="15.75" customHeight="1">
      <c r="A22" s="16" t="s">
        <v>533</v>
      </c>
      <c r="B22" s="17" t="s">
        <v>534</v>
      </c>
      <c r="C22" s="11" t="s">
        <v>535</v>
      </c>
      <c r="D22" s="16" t="s">
        <v>148</v>
      </c>
      <c r="E22" s="18" t="s">
        <v>47</v>
      </c>
      <c r="F22" s="19" t="s">
        <v>597</v>
      </c>
      <c r="G22" s="19" t="s">
        <v>49</v>
      </c>
      <c r="H22" s="19" t="s">
        <v>627</v>
      </c>
      <c r="I22" s="19" t="s">
        <v>370</v>
      </c>
      <c r="J22" s="19" t="s">
        <v>539</v>
      </c>
      <c r="K22" s="19" t="s">
        <v>628</v>
      </c>
      <c r="L22" s="19" t="s">
        <v>629</v>
      </c>
      <c r="M22" s="19" t="s">
        <v>630</v>
      </c>
      <c r="N22" s="19" t="s">
        <v>631</v>
      </c>
      <c r="O22" s="19" t="s">
        <v>632</v>
      </c>
      <c r="P22" s="20" t="s">
        <v>49</v>
      </c>
      <c r="Q22" s="19" t="s">
        <v>633</v>
      </c>
      <c r="R22" s="19" t="s">
        <v>634</v>
      </c>
      <c r="S22" s="19" t="s">
        <v>635</v>
      </c>
      <c r="T22" s="19" t="s">
        <v>636</v>
      </c>
      <c r="U22" s="19" t="s">
        <v>637</v>
      </c>
      <c r="V22" s="19" t="s">
        <v>638</v>
      </c>
      <c r="W22" s="19" t="s">
        <v>639</v>
      </c>
      <c r="X22" s="20" t="s">
        <v>49</v>
      </c>
      <c r="Y22" s="20" t="s">
        <v>49</v>
      </c>
      <c r="Z22" s="20" t="s">
        <v>43</v>
      </c>
      <c r="AA22" s="19" t="s">
        <v>640</v>
      </c>
      <c r="AB22" s="19" t="s">
        <v>641</v>
      </c>
      <c r="AC22" s="19" t="s">
        <v>642</v>
      </c>
      <c r="AD22" s="19" t="s">
        <v>643</v>
      </c>
      <c r="AE22" s="19" t="s">
        <v>644</v>
      </c>
      <c r="AF22" s="19" t="s">
        <v>645</v>
      </c>
      <c r="AG22" s="19" t="s">
        <v>646</v>
      </c>
      <c r="AH22" s="19" t="s">
        <v>647</v>
      </c>
      <c r="AI22" s="19" t="s">
        <v>648</v>
      </c>
      <c r="AJ22" s="19" t="s">
        <v>649</v>
      </c>
      <c r="AK22" s="19" t="s">
        <v>650</v>
      </c>
      <c r="AL22" s="19" t="s">
        <v>651</v>
      </c>
      <c r="AM22" s="19" t="s">
        <v>652</v>
      </c>
      <c r="AN22" s="19" t="s">
        <v>653</v>
      </c>
      <c r="AO22" s="20" t="s">
        <v>654</v>
      </c>
      <c r="AP22" s="20" t="s">
        <v>655</v>
      </c>
      <c r="AQ22" s="19" t="s">
        <v>656</v>
      </c>
      <c r="AR22" s="20" t="s">
        <v>657</v>
      </c>
    </row>
    <row r="23" spans="1:47" ht="15.75" customHeight="1">
      <c r="A23" s="16" t="s">
        <v>533</v>
      </c>
      <c r="B23" s="17" t="s">
        <v>534</v>
      </c>
      <c r="C23" s="11" t="s">
        <v>535</v>
      </c>
      <c r="D23" s="16" t="s">
        <v>180</v>
      </c>
      <c r="E23" s="18" t="s">
        <v>47</v>
      </c>
      <c r="F23" s="19" t="s">
        <v>597</v>
      </c>
      <c r="G23" s="19" t="s">
        <v>49</v>
      </c>
      <c r="H23" s="19" t="s">
        <v>627</v>
      </c>
      <c r="I23" s="19" t="s">
        <v>370</v>
      </c>
      <c r="J23" s="19" t="s">
        <v>539</v>
      </c>
      <c r="K23" s="19" t="s">
        <v>658</v>
      </c>
      <c r="L23" s="19" t="s">
        <v>659</v>
      </c>
      <c r="M23" s="19" t="s">
        <v>660</v>
      </c>
      <c r="N23" s="19" t="s">
        <v>661</v>
      </c>
      <c r="O23" s="19" t="s">
        <v>662</v>
      </c>
      <c r="P23" s="20" t="s">
        <v>49</v>
      </c>
      <c r="Q23" s="19" t="s">
        <v>663</v>
      </c>
      <c r="R23" s="19" t="s">
        <v>664</v>
      </c>
      <c r="S23" s="19" t="s">
        <v>665</v>
      </c>
      <c r="T23" s="19" t="s">
        <v>666</v>
      </c>
      <c r="U23" s="19" t="s">
        <v>667</v>
      </c>
      <c r="V23" s="19" t="s">
        <v>668</v>
      </c>
      <c r="W23" s="19" t="s">
        <v>669</v>
      </c>
      <c r="X23" s="20" t="s">
        <v>49</v>
      </c>
      <c r="Y23" s="20" t="s">
        <v>49</v>
      </c>
      <c r="Z23" s="20" t="s">
        <v>43</v>
      </c>
      <c r="AA23" s="19" t="s">
        <v>670</v>
      </c>
      <c r="AB23" s="19" t="s">
        <v>671</v>
      </c>
      <c r="AC23" s="19" t="s">
        <v>672</v>
      </c>
      <c r="AD23" s="19" t="s">
        <v>673</v>
      </c>
      <c r="AE23" s="19" t="s">
        <v>674</v>
      </c>
      <c r="AF23" s="19" t="s">
        <v>675</v>
      </c>
      <c r="AG23" s="19" t="s">
        <v>676</v>
      </c>
      <c r="AH23" s="19" t="s">
        <v>677</v>
      </c>
      <c r="AI23" s="19" t="s">
        <v>678</v>
      </c>
      <c r="AJ23" s="19" t="s">
        <v>679</v>
      </c>
      <c r="AK23" s="19" t="s">
        <v>680</v>
      </c>
      <c r="AL23" s="19" t="s">
        <v>681</v>
      </c>
      <c r="AM23" s="19" t="s">
        <v>682</v>
      </c>
      <c r="AN23" s="19" t="s">
        <v>683</v>
      </c>
      <c r="AO23" s="20" t="s">
        <v>684</v>
      </c>
      <c r="AP23" s="20" t="s">
        <v>685</v>
      </c>
      <c r="AQ23" s="19" t="s">
        <v>686</v>
      </c>
      <c r="AR23" s="20" t="s">
        <v>687</v>
      </c>
    </row>
    <row r="24" spans="1:47" ht="15.75" customHeight="1">
      <c r="A24" s="9" t="s">
        <v>688</v>
      </c>
      <c r="B24" s="10" t="s">
        <v>689</v>
      </c>
      <c r="C24" s="11" t="s">
        <v>690</v>
      </c>
      <c r="D24" s="12" t="s">
        <v>46</v>
      </c>
      <c r="E24" s="13" t="s">
        <v>47</v>
      </c>
      <c r="F24" s="14" t="s">
        <v>691</v>
      </c>
      <c r="G24" s="14" t="s">
        <v>692</v>
      </c>
      <c r="H24" s="14" t="s">
        <v>693</v>
      </c>
      <c r="I24" s="14" t="s">
        <v>694</v>
      </c>
      <c r="J24" s="15" t="s">
        <v>695</v>
      </c>
      <c r="K24" s="14" t="s">
        <v>696</v>
      </c>
      <c r="L24" s="14" t="s">
        <v>697</v>
      </c>
      <c r="M24" s="15" t="s">
        <v>698</v>
      </c>
      <c r="N24" s="14" t="s">
        <v>699</v>
      </c>
      <c r="O24" s="14" t="s">
        <v>700</v>
      </c>
      <c r="P24" s="15" t="s">
        <v>701</v>
      </c>
      <c r="Q24" s="14" t="s">
        <v>702</v>
      </c>
      <c r="R24" s="14" t="s">
        <v>703</v>
      </c>
      <c r="S24" s="15" t="s">
        <v>704</v>
      </c>
      <c r="T24" s="14" t="s">
        <v>704</v>
      </c>
      <c r="U24" s="15" t="s">
        <v>705</v>
      </c>
      <c r="V24" s="15" t="s">
        <v>706</v>
      </c>
      <c r="W24" s="15" t="s">
        <v>707</v>
      </c>
      <c r="X24" s="15" t="s">
        <v>49</v>
      </c>
      <c r="Y24" s="14" t="s">
        <v>49</v>
      </c>
      <c r="Z24" s="15" t="s">
        <v>43</v>
      </c>
      <c r="AA24" s="14" t="s">
        <v>708</v>
      </c>
      <c r="AB24" s="15" t="s">
        <v>709</v>
      </c>
      <c r="AC24" s="14" t="s">
        <v>710</v>
      </c>
      <c r="AD24" s="15" t="s">
        <v>711</v>
      </c>
      <c r="AE24" s="15" t="s">
        <v>712</v>
      </c>
      <c r="AF24" s="15" t="s">
        <v>713</v>
      </c>
      <c r="AG24" s="14" t="s">
        <v>714</v>
      </c>
      <c r="AH24" s="15" t="s">
        <v>715</v>
      </c>
      <c r="AI24" s="14" t="s">
        <v>716</v>
      </c>
      <c r="AJ24" s="15" t="s">
        <v>717</v>
      </c>
      <c r="AK24" s="15" t="s">
        <v>718</v>
      </c>
      <c r="AL24" s="14" t="s">
        <v>719</v>
      </c>
      <c r="AM24" s="15" t="s">
        <v>720</v>
      </c>
      <c r="AN24" s="14" t="s">
        <v>721</v>
      </c>
      <c r="AO24" s="15" t="s">
        <v>722</v>
      </c>
      <c r="AP24" s="15" t="s">
        <v>723</v>
      </c>
      <c r="AQ24" s="15" t="s">
        <v>724</v>
      </c>
      <c r="AR24" s="15" t="s">
        <v>311</v>
      </c>
    </row>
    <row r="25" spans="1:47" ht="15.75" customHeight="1">
      <c r="A25" s="9" t="s">
        <v>688</v>
      </c>
      <c r="B25" s="10" t="s">
        <v>689</v>
      </c>
      <c r="C25" s="11" t="s">
        <v>690</v>
      </c>
      <c r="D25" s="12" t="s">
        <v>82</v>
      </c>
      <c r="E25" s="13" t="s">
        <v>47</v>
      </c>
      <c r="F25" s="14" t="s">
        <v>725</v>
      </c>
      <c r="G25" s="14" t="s">
        <v>692</v>
      </c>
      <c r="H25" s="14" t="s">
        <v>693</v>
      </c>
      <c r="I25" s="14" t="s">
        <v>694</v>
      </c>
      <c r="J25" s="15" t="s">
        <v>695</v>
      </c>
      <c r="K25" s="15" t="s">
        <v>726</v>
      </c>
      <c r="L25" s="15" t="s">
        <v>726</v>
      </c>
      <c r="M25" s="15" t="s">
        <v>727</v>
      </c>
      <c r="N25" s="14" t="s">
        <v>728</v>
      </c>
      <c r="O25" s="14" t="s">
        <v>729</v>
      </c>
      <c r="P25" s="15" t="s">
        <v>730</v>
      </c>
      <c r="Q25" s="14" t="s">
        <v>731</v>
      </c>
      <c r="R25" s="14" t="s">
        <v>732</v>
      </c>
      <c r="S25" s="15" t="s">
        <v>733</v>
      </c>
      <c r="T25" s="14" t="s">
        <v>733</v>
      </c>
      <c r="U25" s="15" t="s">
        <v>734</v>
      </c>
      <c r="V25" s="15" t="s">
        <v>735</v>
      </c>
      <c r="W25" s="15" t="s">
        <v>736</v>
      </c>
      <c r="X25" s="15" t="s">
        <v>49</v>
      </c>
      <c r="Y25" s="15" t="s">
        <v>49</v>
      </c>
      <c r="Z25" s="15" t="s">
        <v>43</v>
      </c>
      <c r="AA25" s="14" t="s">
        <v>737</v>
      </c>
      <c r="AB25" s="14" t="s">
        <v>738</v>
      </c>
      <c r="AC25" s="14" t="s">
        <v>739</v>
      </c>
      <c r="AD25" s="14" t="s">
        <v>740</v>
      </c>
      <c r="AE25" s="15" t="s">
        <v>741</v>
      </c>
      <c r="AF25" s="15" t="s">
        <v>742</v>
      </c>
      <c r="AG25" s="14" t="s">
        <v>743</v>
      </c>
      <c r="AH25" s="15" t="s">
        <v>744</v>
      </c>
      <c r="AI25" s="14" t="s">
        <v>745</v>
      </c>
      <c r="AJ25" s="15" t="s">
        <v>746</v>
      </c>
      <c r="AK25" s="14" t="s">
        <v>747</v>
      </c>
      <c r="AL25" s="14" t="s">
        <v>748</v>
      </c>
      <c r="AM25" s="15" t="s">
        <v>749</v>
      </c>
      <c r="AN25" s="14" t="s">
        <v>750</v>
      </c>
      <c r="AO25" s="15" t="s">
        <v>751</v>
      </c>
      <c r="AP25" s="22"/>
      <c r="AQ25" s="15" t="s">
        <v>752</v>
      </c>
      <c r="AR25" s="15" t="s">
        <v>344</v>
      </c>
    </row>
    <row r="26" spans="1:47" ht="15.75" customHeight="1">
      <c r="A26" s="9" t="s">
        <v>688</v>
      </c>
      <c r="B26" s="10" t="s">
        <v>689</v>
      </c>
      <c r="C26" s="11" t="s">
        <v>690</v>
      </c>
      <c r="D26" s="12" t="s">
        <v>115</v>
      </c>
      <c r="E26" s="13" t="s">
        <v>47</v>
      </c>
      <c r="F26" s="14" t="s">
        <v>753</v>
      </c>
      <c r="G26" s="14" t="s">
        <v>692</v>
      </c>
      <c r="H26" s="14" t="s">
        <v>754</v>
      </c>
      <c r="I26" s="14" t="s">
        <v>755</v>
      </c>
      <c r="J26" s="15" t="s">
        <v>695</v>
      </c>
      <c r="K26" s="15" t="s">
        <v>756</v>
      </c>
      <c r="L26" s="15" t="s">
        <v>757</v>
      </c>
      <c r="M26" s="15" t="s">
        <v>758</v>
      </c>
      <c r="N26" s="14" t="s">
        <v>759</v>
      </c>
      <c r="O26" s="14" t="s">
        <v>760</v>
      </c>
      <c r="P26" s="15" t="s">
        <v>761</v>
      </c>
      <c r="Q26" s="14" t="s">
        <v>762</v>
      </c>
      <c r="R26" s="14" t="s">
        <v>763</v>
      </c>
      <c r="S26" s="15" t="s">
        <v>764</v>
      </c>
      <c r="T26" s="14" t="s">
        <v>764</v>
      </c>
      <c r="U26" s="15" t="s">
        <v>765</v>
      </c>
      <c r="V26" s="15" t="s">
        <v>766</v>
      </c>
      <c r="W26" s="15" t="s">
        <v>767</v>
      </c>
      <c r="X26" s="15" t="s">
        <v>49</v>
      </c>
      <c r="Y26" s="15" t="s">
        <v>49</v>
      </c>
      <c r="Z26" s="15" t="s">
        <v>43</v>
      </c>
      <c r="AA26" s="14" t="s">
        <v>768</v>
      </c>
      <c r="AB26" s="14" t="s">
        <v>769</v>
      </c>
      <c r="AC26" s="14" t="s">
        <v>770</v>
      </c>
      <c r="AD26" s="14" t="s">
        <v>771</v>
      </c>
      <c r="AE26" s="15" t="s">
        <v>772</v>
      </c>
      <c r="AF26" s="15" t="s">
        <v>773</v>
      </c>
      <c r="AG26" s="15" t="s">
        <v>774</v>
      </c>
      <c r="AH26" s="15" t="s">
        <v>775</v>
      </c>
      <c r="AI26" s="14" t="s">
        <v>776</v>
      </c>
      <c r="AJ26" s="15" t="s">
        <v>777</v>
      </c>
      <c r="AK26" s="14" t="s">
        <v>778</v>
      </c>
      <c r="AL26" s="14" t="s">
        <v>779</v>
      </c>
      <c r="AM26" s="15" t="s">
        <v>780</v>
      </c>
      <c r="AN26" s="14" t="s">
        <v>781</v>
      </c>
      <c r="AO26" s="15" t="s">
        <v>782</v>
      </c>
      <c r="AP26" s="15" t="s">
        <v>783</v>
      </c>
      <c r="AQ26" s="15" t="s">
        <v>784</v>
      </c>
      <c r="AR26" s="15" t="s">
        <v>376</v>
      </c>
    </row>
    <row r="27" spans="1:47" ht="15.75" customHeight="1">
      <c r="A27" s="9" t="s">
        <v>688</v>
      </c>
      <c r="B27" s="10" t="s">
        <v>689</v>
      </c>
      <c r="C27" s="11" t="s">
        <v>690</v>
      </c>
      <c r="D27" s="12" t="s">
        <v>148</v>
      </c>
      <c r="E27" s="13" t="s">
        <v>47</v>
      </c>
      <c r="F27" s="14" t="s">
        <v>785</v>
      </c>
      <c r="G27" s="14" t="s">
        <v>692</v>
      </c>
      <c r="H27" s="14" t="s">
        <v>754</v>
      </c>
      <c r="I27" s="14" t="s">
        <v>786</v>
      </c>
      <c r="J27" s="15" t="s">
        <v>695</v>
      </c>
      <c r="K27" s="15" t="s">
        <v>787</v>
      </c>
      <c r="L27" s="15" t="s">
        <v>788</v>
      </c>
      <c r="M27" s="15" t="s">
        <v>789</v>
      </c>
      <c r="N27" s="15" t="s">
        <v>790</v>
      </c>
      <c r="O27" s="14" t="s">
        <v>791</v>
      </c>
      <c r="P27" s="15" t="s">
        <v>792</v>
      </c>
      <c r="Q27" s="14" t="s">
        <v>793</v>
      </c>
      <c r="R27" s="15" t="s">
        <v>794</v>
      </c>
      <c r="S27" s="15" t="s">
        <v>795</v>
      </c>
      <c r="T27" s="14" t="s">
        <v>795</v>
      </c>
      <c r="U27" s="15" t="s">
        <v>796</v>
      </c>
      <c r="V27" s="15" t="s">
        <v>797</v>
      </c>
      <c r="W27" s="15" t="s">
        <v>798</v>
      </c>
      <c r="X27" s="15" t="s">
        <v>49</v>
      </c>
      <c r="Y27" s="15" t="s">
        <v>49</v>
      </c>
      <c r="Z27" s="15" t="s">
        <v>43</v>
      </c>
      <c r="AA27" s="14" t="s">
        <v>794</v>
      </c>
      <c r="AB27" s="15" t="s">
        <v>799</v>
      </c>
      <c r="AC27" s="14" t="s">
        <v>800</v>
      </c>
      <c r="AD27" s="15" t="s">
        <v>801</v>
      </c>
      <c r="AE27" s="15" t="s">
        <v>802</v>
      </c>
      <c r="AF27" s="15" t="s">
        <v>803</v>
      </c>
      <c r="AG27" s="14" t="s">
        <v>804</v>
      </c>
      <c r="AH27" s="15" t="s">
        <v>805</v>
      </c>
      <c r="AI27" s="14" t="s">
        <v>806</v>
      </c>
      <c r="AJ27" s="15" t="s">
        <v>807</v>
      </c>
      <c r="AK27" s="15" t="s">
        <v>808</v>
      </c>
      <c r="AL27" s="14" t="s">
        <v>809</v>
      </c>
      <c r="AM27" s="15" t="s">
        <v>810</v>
      </c>
      <c r="AN27" s="14" t="s">
        <v>811</v>
      </c>
      <c r="AO27" s="15" t="s">
        <v>812</v>
      </c>
      <c r="AP27" s="15" t="s">
        <v>813</v>
      </c>
      <c r="AQ27" s="15" t="s">
        <v>814</v>
      </c>
      <c r="AR27" s="15" t="s">
        <v>411</v>
      </c>
    </row>
    <row r="28" spans="1:47" ht="15.75" customHeight="1">
      <c r="A28" s="9" t="s">
        <v>688</v>
      </c>
      <c r="B28" s="10" t="s">
        <v>689</v>
      </c>
      <c r="C28" s="11" t="s">
        <v>690</v>
      </c>
      <c r="D28" s="12" t="s">
        <v>180</v>
      </c>
      <c r="E28" s="13" t="s">
        <v>47</v>
      </c>
      <c r="F28" s="14" t="s">
        <v>815</v>
      </c>
      <c r="G28" s="14" t="s">
        <v>692</v>
      </c>
      <c r="H28" s="14" t="s">
        <v>754</v>
      </c>
      <c r="I28" s="14" t="s">
        <v>786</v>
      </c>
      <c r="J28" s="15" t="s">
        <v>695</v>
      </c>
      <c r="K28" s="15" t="s">
        <v>816</v>
      </c>
      <c r="L28" s="15" t="s">
        <v>817</v>
      </c>
      <c r="M28" s="15" t="s">
        <v>818</v>
      </c>
      <c r="N28" s="15" t="s">
        <v>819</v>
      </c>
      <c r="O28" s="15" t="s">
        <v>820</v>
      </c>
      <c r="P28" s="15" t="s">
        <v>821</v>
      </c>
      <c r="Q28" s="14" t="s">
        <v>822</v>
      </c>
      <c r="R28" s="14" t="s">
        <v>823</v>
      </c>
      <c r="S28" s="15" t="s">
        <v>824</v>
      </c>
      <c r="T28" s="14" t="s">
        <v>824</v>
      </c>
      <c r="U28" s="15" t="s">
        <v>825</v>
      </c>
      <c r="V28" s="15" t="s">
        <v>826</v>
      </c>
      <c r="W28" s="15" t="s">
        <v>827</v>
      </c>
      <c r="X28" s="15" t="s">
        <v>49</v>
      </c>
      <c r="Y28" s="15" t="s">
        <v>49</v>
      </c>
      <c r="Z28" s="15" t="s">
        <v>43</v>
      </c>
      <c r="AA28" s="14" t="s">
        <v>828</v>
      </c>
      <c r="AB28" s="15" t="s">
        <v>829</v>
      </c>
      <c r="AC28" s="14" t="s">
        <v>830</v>
      </c>
      <c r="AD28" s="15" t="s">
        <v>831</v>
      </c>
      <c r="AE28" s="15" t="s">
        <v>832</v>
      </c>
      <c r="AF28" s="15" t="s">
        <v>833</v>
      </c>
      <c r="AG28" s="15" t="s">
        <v>834</v>
      </c>
      <c r="AH28" s="15" t="s">
        <v>835</v>
      </c>
      <c r="AI28" s="14" t="s">
        <v>836</v>
      </c>
      <c r="AJ28" s="15" t="s">
        <v>837</v>
      </c>
      <c r="AK28" s="15" t="s">
        <v>838</v>
      </c>
      <c r="AL28" s="14" t="s">
        <v>839</v>
      </c>
      <c r="AM28" s="15" t="s">
        <v>840</v>
      </c>
      <c r="AN28" s="14" t="s">
        <v>841</v>
      </c>
      <c r="AO28" s="15" t="s">
        <v>842</v>
      </c>
      <c r="AP28" s="15" t="s">
        <v>843</v>
      </c>
      <c r="AQ28" s="15" t="s">
        <v>844</v>
      </c>
      <c r="AR28" s="15" t="s">
        <v>81</v>
      </c>
    </row>
    <row r="29" spans="1:47" ht="15.75" customHeight="1">
      <c r="A29" s="23" t="s">
        <v>845</v>
      </c>
      <c r="B29" s="24" t="s">
        <v>846</v>
      </c>
      <c r="C29" s="25" t="s">
        <v>847</v>
      </c>
      <c r="D29" s="23" t="s">
        <v>46</v>
      </c>
      <c r="E29" s="18" t="s">
        <v>47</v>
      </c>
      <c r="F29" s="26" t="s">
        <v>848</v>
      </c>
      <c r="G29" s="26" t="s">
        <v>849</v>
      </c>
      <c r="H29" s="26" t="s">
        <v>850</v>
      </c>
      <c r="I29" s="26" t="s">
        <v>849</v>
      </c>
      <c r="J29" s="26" t="s">
        <v>851</v>
      </c>
      <c r="K29" s="26" t="s">
        <v>852</v>
      </c>
      <c r="L29" s="26" t="s">
        <v>853</v>
      </c>
      <c r="M29" s="26" t="s">
        <v>854</v>
      </c>
      <c r="N29" s="26" t="s">
        <v>855</v>
      </c>
      <c r="O29" s="26" t="s">
        <v>856</v>
      </c>
      <c r="P29" s="26" t="s">
        <v>857</v>
      </c>
      <c r="Q29" s="26" t="s">
        <v>858</v>
      </c>
      <c r="R29" s="26" t="s">
        <v>859</v>
      </c>
      <c r="S29" s="26" t="s">
        <v>860</v>
      </c>
      <c r="T29" s="26" t="s">
        <v>861</v>
      </c>
      <c r="U29" s="26" t="s">
        <v>862</v>
      </c>
      <c r="V29" s="26" t="s">
        <v>863</v>
      </c>
      <c r="W29" s="26" t="s">
        <v>864</v>
      </c>
      <c r="X29" s="26" t="s">
        <v>49</v>
      </c>
      <c r="Y29" s="26" t="s">
        <v>43</v>
      </c>
      <c r="Z29" s="26" t="s">
        <v>43</v>
      </c>
      <c r="AA29" s="26" t="s">
        <v>865</v>
      </c>
      <c r="AB29" s="26" t="s">
        <v>866</v>
      </c>
      <c r="AC29" s="26" t="s">
        <v>867</v>
      </c>
      <c r="AD29" s="26" t="s">
        <v>868</v>
      </c>
      <c r="AE29" s="26" t="s">
        <v>869</v>
      </c>
      <c r="AF29" s="26" t="s">
        <v>870</v>
      </c>
      <c r="AG29" s="26" t="s">
        <v>871</v>
      </c>
      <c r="AH29" s="26" t="s">
        <v>872</v>
      </c>
      <c r="AI29" s="26" t="s">
        <v>49</v>
      </c>
      <c r="AJ29" s="26" t="s">
        <v>873</v>
      </c>
      <c r="AK29" s="26" t="s">
        <v>868</v>
      </c>
      <c r="AL29" s="26" t="s">
        <v>874</v>
      </c>
      <c r="AM29" s="26" t="s">
        <v>875</v>
      </c>
      <c r="AN29" s="27" t="s">
        <v>876</v>
      </c>
      <c r="AO29" s="26" t="s">
        <v>877</v>
      </c>
      <c r="AP29" s="26" t="s">
        <v>878</v>
      </c>
      <c r="AQ29" s="26" t="s">
        <v>879</v>
      </c>
      <c r="AR29" s="26" t="s">
        <v>596</v>
      </c>
      <c r="AS29" s="28"/>
      <c r="AT29" s="28"/>
      <c r="AU29" s="28"/>
    </row>
    <row r="30" spans="1:47" ht="15.75" customHeight="1">
      <c r="A30" s="23" t="s">
        <v>845</v>
      </c>
      <c r="B30" s="24" t="s">
        <v>846</v>
      </c>
      <c r="C30" s="25" t="s">
        <v>847</v>
      </c>
      <c r="D30" s="23" t="s">
        <v>82</v>
      </c>
      <c r="E30" s="18" t="s">
        <v>47</v>
      </c>
      <c r="F30" s="26" t="s">
        <v>880</v>
      </c>
      <c r="G30" s="26" t="s">
        <v>849</v>
      </c>
      <c r="H30" s="26" t="s">
        <v>881</v>
      </c>
      <c r="I30" s="26" t="s">
        <v>849</v>
      </c>
      <c r="J30" s="26" t="s">
        <v>882</v>
      </c>
      <c r="K30" s="26" t="s">
        <v>883</v>
      </c>
      <c r="L30" s="26" t="s">
        <v>884</v>
      </c>
      <c r="M30" s="26" t="s">
        <v>885</v>
      </c>
      <c r="N30" s="26" t="s">
        <v>886</v>
      </c>
      <c r="O30" s="26" t="s">
        <v>887</v>
      </c>
      <c r="P30" s="26" t="s">
        <v>857</v>
      </c>
      <c r="Q30" s="26" t="s">
        <v>888</v>
      </c>
      <c r="R30" s="26" t="s">
        <v>889</v>
      </c>
      <c r="S30" s="26" t="s">
        <v>890</v>
      </c>
      <c r="T30" s="26" t="s">
        <v>891</v>
      </c>
      <c r="U30" s="26" t="s">
        <v>892</v>
      </c>
      <c r="V30" s="26" t="s">
        <v>893</v>
      </c>
      <c r="W30" s="26" t="s">
        <v>894</v>
      </c>
      <c r="X30" s="26" t="s">
        <v>49</v>
      </c>
      <c r="Y30" s="26" t="s">
        <v>43</v>
      </c>
      <c r="Z30" s="26" t="s">
        <v>43</v>
      </c>
      <c r="AA30" s="26" t="s">
        <v>895</v>
      </c>
      <c r="AB30" s="26" t="s">
        <v>896</v>
      </c>
      <c r="AC30" s="26" t="s">
        <v>897</v>
      </c>
      <c r="AD30" s="26" t="s">
        <v>898</v>
      </c>
      <c r="AE30" s="26" t="s">
        <v>899</v>
      </c>
      <c r="AF30" s="26" t="s">
        <v>900</v>
      </c>
      <c r="AG30" s="26" t="s">
        <v>901</v>
      </c>
      <c r="AH30" s="26" t="s">
        <v>902</v>
      </c>
      <c r="AI30" s="26" t="s">
        <v>49</v>
      </c>
      <c r="AJ30" s="26" t="s">
        <v>903</v>
      </c>
      <c r="AK30" s="26" t="s">
        <v>904</v>
      </c>
      <c r="AL30" s="26" t="s">
        <v>905</v>
      </c>
      <c r="AM30" s="26" t="s">
        <v>906</v>
      </c>
      <c r="AN30" s="26" t="s">
        <v>907</v>
      </c>
      <c r="AO30" s="26" t="s">
        <v>908</v>
      </c>
      <c r="AP30" s="26" t="s">
        <v>909</v>
      </c>
      <c r="AQ30" s="26" t="s">
        <v>910</v>
      </c>
      <c r="AR30" s="26" t="s">
        <v>626</v>
      </c>
      <c r="AS30" s="28"/>
      <c r="AT30" s="28"/>
      <c r="AU30" s="28"/>
    </row>
    <row r="31" spans="1:47" ht="15.75" customHeight="1">
      <c r="A31" s="23" t="s">
        <v>845</v>
      </c>
      <c r="B31" s="24" t="s">
        <v>846</v>
      </c>
      <c r="C31" s="25" t="s">
        <v>847</v>
      </c>
      <c r="D31" s="23" t="s">
        <v>115</v>
      </c>
      <c r="E31" s="18" t="s">
        <v>47</v>
      </c>
      <c r="F31" s="26" t="s">
        <v>911</v>
      </c>
      <c r="G31" s="26" t="s">
        <v>849</v>
      </c>
      <c r="H31" s="26" t="s">
        <v>912</v>
      </c>
      <c r="I31" s="26" t="s">
        <v>849</v>
      </c>
      <c r="J31" s="29" t="s">
        <v>913</v>
      </c>
      <c r="K31" s="26" t="s">
        <v>914</v>
      </c>
      <c r="L31" s="26" t="s">
        <v>915</v>
      </c>
      <c r="M31" s="26" t="s">
        <v>916</v>
      </c>
      <c r="N31" s="26" t="s">
        <v>917</v>
      </c>
      <c r="O31" s="26" t="s">
        <v>918</v>
      </c>
      <c r="P31" s="26" t="s">
        <v>857</v>
      </c>
      <c r="Q31" s="29" t="s">
        <v>919</v>
      </c>
      <c r="R31" s="26" t="s">
        <v>920</v>
      </c>
      <c r="S31" s="26" t="s">
        <v>921</v>
      </c>
      <c r="T31" s="26" t="s">
        <v>922</v>
      </c>
      <c r="U31" s="26" t="s">
        <v>923</v>
      </c>
      <c r="V31" s="26" t="s">
        <v>924</v>
      </c>
      <c r="W31" s="26" t="s">
        <v>925</v>
      </c>
      <c r="X31" s="26" t="s">
        <v>49</v>
      </c>
      <c r="Y31" s="26" t="s">
        <v>43</v>
      </c>
      <c r="Z31" s="26" t="s">
        <v>43</v>
      </c>
      <c r="AA31" s="26" t="s">
        <v>926</v>
      </c>
      <c r="AB31" s="26" t="s">
        <v>927</v>
      </c>
      <c r="AC31" s="26" t="s">
        <v>928</v>
      </c>
      <c r="AD31" s="26" t="s">
        <v>929</v>
      </c>
      <c r="AE31" s="26" t="s">
        <v>930</v>
      </c>
      <c r="AF31" s="26" t="s">
        <v>931</v>
      </c>
      <c r="AG31" s="26" t="s">
        <v>932</v>
      </c>
      <c r="AH31" s="26" t="s">
        <v>933</v>
      </c>
      <c r="AI31" s="26" t="s">
        <v>49</v>
      </c>
      <c r="AJ31" s="26" t="s">
        <v>934</v>
      </c>
      <c r="AK31" s="26" t="s">
        <v>935</v>
      </c>
      <c r="AL31" s="26" t="s">
        <v>936</v>
      </c>
      <c r="AM31" s="26" t="s">
        <v>937</v>
      </c>
      <c r="AN31" s="26" t="s">
        <v>938</v>
      </c>
      <c r="AO31" s="29" t="s">
        <v>939</v>
      </c>
      <c r="AP31" s="26" t="s">
        <v>940</v>
      </c>
      <c r="AQ31" s="26" t="s">
        <v>941</v>
      </c>
      <c r="AR31" s="26" t="s">
        <v>657</v>
      </c>
      <c r="AS31" s="28"/>
      <c r="AT31" s="28"/>
      <c r="AU31" s="28"/>
    </row>
    <row r="32" spans="1:47" ht="15.75" customHeight="1">
      <c r="A32" s="23" t="s">
        <v>845</v>
      </c>
      <c r="B32" s="24" t="s">
        <v>846</v>
      </c>
      <c r="C32" s="25" t="s">
        <v>847</v>
      </c>
      <c r="D32" s="23" t="s">
        <v>148</v>
      </c>
      <c r="E32" s="18" t="s">
        <v>47</v>
      </c>
      <c r="F32" s="26" t="s">
        <v>942</v>
      </c>
      <c r="G32" s="26" t="s">
        <v>849</v>
      </c>
      <c r="H32" s="26" t="s">
        <v>943</v>
      </c>
      <c r="I32" s="26" t="s">
        <v>849</v>
      </c>
      <c r="J32" s="26" t="s">
        <v>944</v>
      </c>
      <c r="K32" s="26" t="s">
        <v>945</v>
      </c>
      <c r="L32" s="26" t="s">
        <v>946</v>
      </c>
      <c r="M32" s="26" t="s">
        <v>947</v>
      </c>
      <c r="N32" s="26" t="s">
        <v>948</v>
      </c>
      <c r="O32" s="26" t="s">
        <v>949</v>
      </c>
      <c r="P32" s="26" t="s">
        <v>857</v>
      </c>
      <c r="Q32" s="26" t="s">
        <v>950</v>
      </c>
      <c r="R32" s="26" t="s">
        <v>951</v>
      </c>
      <c r="S32" s="26" t="s">
        <v>952</v>
      </c>
      <c r="T32" s="26" t="s">
        <v>953</v>
      </c>
      <c r="U32" s="26" t="s">
        <v>954</v>
      </c>
      <c r="V32" s="29" t="s">
        <v>955</v>
      </c>
      <c r="W32" s="26" t="s">
        <v>956</v>
      </c>
      <c r="X32" s="26" t="s">
        <v>49</v>
      </c>
      <c r="Y32" s="26" t="s">
        <v>43</v>
      </c>
      <c r="Z32" s="26" t="s">
        <v>43</v>
      </c>
      <c r="AA32" s="26" t="s">
        <v>957</v>
      </c>
      <c r="AB32" s="26" t="s">
        <v>958</v>
      </c>
      <c r="AC32" s="26" t="s">
        <v>959</v>
      </c>
      <c r="AD32" s="26" t="s">
        <v>960</v>
      </c>
      <c r="AE32" s="26" t="s">
        <v>961</v>
      </c>
      <c r="AF32" s="29" t="s">
        <v>962</v>
      </c>
      <c r="AG32" s="26" t="s">
        <v>963</v>
      </c>
      <c r="AH32" s="26" t="s">
        <v>964</v>
      </c>
      <c r="AI32" s="26" t="s">
        <v>49</v>
      </c>
      <c r="AJ32" s="26" t="s">
        <v>965</v>
      </c>
      <c r="AK32" s="26" t="s">
        <v>966</v>
      </c>
      <c r="AL32" s="26" t="s">
        <v>967</v>
      </c>
      <c r="AM32" s="26" t="s">
        <v>968</v>
      </c>
      <c r="AN32" s="26" t="s">
        <v>969</v>
      </c>
      <c r="AO32" s="26" t="s">
        <v>970</v>
      </c>
      <c r="AP32" s="26" t="s">
        <v>971</v>
      </c>
      <c r="AQ32" s="26" t="s">
        <v>972</v>
      </c>
      <c r="AR32" s="26" t="s">
        <v>687</v>
      </c>
      <c r="AS32" s="28"/>
      <c r="AT32" s="28"/>
      <c r="AU32" s="28"/>
    </row>
    <row r="33" spans="1:47" ht="15.75" customHeight="1">
      <c r="A33" s="23" t="s">
        <v>845</v>
      </c>
      <c r="B33" s="24" t="s">
        <v>846</v>
      </c>
      <c r="C33" s="25" t="s">
        <v>847</v>
      </c>
      <c r="D33" s="23" t="s">
        <v>180</v>
      </c>
      <c r="E33" s="18" t="s">
        <v>47</v>
      </c>
      <c r="F33" s="26" t="s">
        <v>973</v>
      </c>
      <c r="G33" s="26" t="s">
        <v>849</v>
      </c>
      <c r="H33" s="29" t="s">
        <v>974</v>
      </c>
      <c r="I33" s="26" t="s">
        <v>849</v>
      </c>
      <c r="J33" s="26" t="s">
        <v>975</v>
      </c>
      <c r="K33" s="26" t="s">
        <v>976</v>
      </c>
      <c r="L33" s="26" t="s">
        <v>977</v>
      </c>
      <c r="M33" s="26" t="s">
        <v>978</v>
      </c>
      <c r="N33" s="26" t="s">
        <v>979</v>
      </c>
      <c r="O33" s="26" t="s">
        <v>980</v>
      </c>
      <c r="P33" s="26" t="s">
        <v>981</v>
      </c>
      <c r="Q33" s="26" t="s">
        <v>982</v>
      </c>
      <c r="R33" s="26" t="s">
        <v>983</v>
      </c>
      <c r="S33" s="26" t="s">
        <v>984</v>
      </c>
      <c r="T33" s="26" t="s">
        <v>985</v>
      </c>
      <c r="U33" s="26" t="s">
        <v>986</v>
      </c>
      <c r="V33" s="26" t="s">
        <v>987</v>
      </c>
      <c r="W33" s="26" t="s">
        <v>988</v>
      </c>
      <c r="X33" s="26" t="s">
        <v>49</v>
      </c>
      <c r="Y33" s="26" t="s">
        <v>43</v>
      </c>
      <c r="Z33" s="26" t="s">
        <v>43</v>
      </c>
      <c r="AA33" s="26" t="s">
        <v>989</v>
      </c>
      <c r="AB33" s="26" t="s">
        <v>990</v>
      </c>
      <c r="AC33" s="26" t="s">
        <v>991</v>
      </c>
      <c r="AD33" s="26" t="s">
        <v>992</v>
      </c>
      <c r="AE33" s="26" t="s">
        <v>993</v>
      </c>
      <c r="AF33" s="26" t="s">
        <v>994</v>
      </c>
      <c r="AG33" s="26" t="s">
        <v>995</v>
      </c>
      <c r="AH33" s="26" t="s">
        <v>996</v>
      </c>
      <c r="AI33" s="26" t="s">
        <v>997</v>
      </c>
      <c r="AJ33" s="26" t="s">
        <v>998</v>
      </c>
      <c r="AK33" s="26" t="s">
        <v>999</v>
      </c>
      <c r="AL33" s="26" t="s">
        <v>1000</v>
      </c>
      <c r="AM33" s="26" t="s">
        <v>1001</v>
      </c>
      <c r="AN33" s="26" t="s">
        <v>1002</v>
      </c>
      <c r="AO33" s="26" t="s">
        <v>1003</v>
      </c>
      <c r="AP33" s="26" t="s">
        <v>1004</v>
      </c>
      <c r="AQ33" s="29" t="s">
        <v>1005</v>
      </c>
      <c r="AR33" s="26" t="s">
        <v>1006</v>
      </c>
      <c r="AS33" s="28"/>
      <c r="AT33" s="28"/>
      <c r="AU33" s="28"/>
    </row>
    <row r="34" spans="1:47" ht="15.75" customHeight="1">
      <c r="A34" s="9" t="s">
        <v>1007</v>
      </c>
      <c r="B34" s="10" t="s">
        <v>1008</v>
      </c>
      <c r="C34" s="25" t="s">
        <v>1009</v>
      </c>
      <c r="D34" s="12" t="s">
        <v>46</v>
      </c>
      <c r="E34" s="13" t="s">
        <v>47</v>
      </c>
      <c r="F34" s="30">
        <v>0.25800000000000001</v>
      </c>
      <c r="G34" s="30">
        <v>0</v>
      </c>
      <c r="H34" s="30">
        <v>3.2000000000000002E-3</v>
      </c>
      <c r="I34" s="30">
        <v>4.6199999999999998E-2</v>
      </c>
      <c r="J34" s="31" t="s">
        <v>1010</v>
      </c>
      <c r="K34" s="31" t="s">
        <v>1011</v>
      </c>
      <c r="L34" s="31" t="s">
        <v>1011</v>
      </c>
      <c r="M34" s="31" t="s">
        <v>1012</v>
      </c>
      <c r="N34" s="31" t="s">
        <v>1013</v>
      </c>
      <c r="O34" s="31" t="s">
        <v>1014</v>
      </c>
      <c r="P34" s="31" t="s">
        <v>1015</v>
      </c>
      <c r="Q34" s="32">
        <v>78847936285</v>
      </c>
      <c r="R34" s="32">
        <v>54952056744</v>
      </c>
      <c r="S34" s="31" t="s">
        <v>1016</v>
      </c>
      <c r="T34" s="33" t="s">
        <v>1017</v>
      </c>
      <c r="U34" s="34" t="s">
        <v>1018</v>
      </c>
      <c r="V34" s="31" t="s">
        <v>1019</v>
      </c>
      <c r="W34" s="31" t="s">
        <v>1020</v>
      </c>
      <c r="X34" s="30">
        <v>0</v>
      </c>
      <c r="Y34" s="30">
        <v>0</v>
      </c>
      <c r="Z34" s="31">
        <v>0</v>
      </c>
      <c r="AA34" s="31" t="s">
        <v>1021</v>
      </c>
      <c r="AB34" s="31" t="s">
        <v>1022</v>
      </c>
      <c r="AC34" s="31" t="s">
        <v>1023</v>
      </c>
      <c r="AD34" s="31" t="s">
        <v>1024</v>
      </c>
      <c r="AE34" s="31" t="s">
        <v>1025</v>
      </c>
      <c r="AF34" s="31">
        <v>-6586770599</v>
      </c>
      <c r="AG34" s="31" t="s">
        <v>1026</v>
      </c>
      <c r="AH34" s="31" t="s">
        <v>1027</v>
      </c>
      <c r="AI34" s="31" t="s">
        <v>1028</v>
      </c>
      <c r="AJ34" s="31" t="s">
        <v>1029</v>
      </c>
      <c r="AK34" s="31" t="s">
        <v>1030</v>
      </c>
      <c r="AL34" s="32" t="s">
        <v>1031</v>
      </c>
      <c r="AM34" s="31" t="s">
        <v>1032</v>
      </c>
      <c r="AN34" s="31">
        <v>-16638508500</v>
      </c>
      <c r="AO34" s="30">
        <v>727.88</v>
      </c>
      <c r="AP34" s="31">
        <v>639</v>
      </c>
      <c r="AQ34" s="31" t="s">
        <v>1033</v>
      </c>
      <c r="AR34" s="30">
        <v>60</v>
      </c>
    </row>
    <row r="35" spans="1:47" ht="15.75" customHeight="1">
      <c r="A35" s="9" t="s">
        <v>1007</v>
      </c>
      <c r="B35" s="10" t="s">
        <v>1008</v>
      </c>
      <c r="C35" s="25" t="s">
        <v>1009</v>
      </c>
      <c r="D35" s="12" t="s">
        <v>82</v>
      </c>
      <c r="E35" s="13" t="s">
        <v>47</v>
      </c>
      <c r="F35" s="30">
        <v>0.25800000000000001</v>
      </c>
      <c r="G35" s="30">
        <v>0</v>
      </c>
      <c r="H35" s="30">
        <v>3.2000000000000002E-3</v>
      </c>
      <c r="I35" s="30">
        <v>3.0099999999999998E-2</v>
      </c>
      <c r="J35" s="31" t="s">
        <v>1010</v>
      </c>
      <c r="K35" s="31" t="s">
        <v>1034</v>
      </c>
      <c r="L35" s="31" t="s">
        <v>1035</v>
      </c>
      <c r="M35" s="31" t="s">
        <v>1036</v>
      </c>
      <c r="N35" s="31" t="s">
        <v>1037</v>
      </c>
      <c r="O35" s="31" t="s">
        <v>1038</v>
      </c>
      <c r="P35" s="31" t="s">
        <v>1039</v>
      </c>
      <c r="Q35" s="32">
        <v>91431652696</v>
      </c>
      <c r="R35" s="32">
        <v>72391641933</v>
      </c>
      <c r="S35" s="31" t="s">
        <v>1040</v>
      </c>
      <c r="T35" s="33" t="s">
        <v>1041</v>
      </c>
      <c r="U35" s="34" t="s">
        <v>1042</v>
      </c>
      <c r="V35" s="31" t="s">
        <v>1043</v>
      </c>
      <c r="W35" s="31" t="s">
        <v>1044</v>
      </c>
      <c r="X35" s="30">
        <v>0</v>
      </c>
      <c r="Y35" s="30">
        <v>1</v>
      </c>
      <c r="Z35" s="31">
        <v>1</v>
      </c>
      <c r="AA35" s="31" t="s">
        <v>1045</v>
      </c>
      <c r="AB35" s="31" t="s">
        <v>1046</v>
      </c>
      <c r="AC35" s="31" t="s">
        <v>1047</v>
      </c>
      <c r="AD35" s="31" t="s">
        <v>1048</v>
      </c>
      <c r="AE35" s="31" t="s">
        <v>1049</v>
      </c>
      <c r="AF35" s="31">
        <v>-5724503275</v>
      </c>
      <c r="AG35" s="31" t="s">
        <v>1050</v>
      </c>
      <c r="AH35" s="31" t="s">
        <v>1051</v>
      </c>
      <c r="AI35" s="31" t="s">
        <v>1028</v>
      </c>
      <c r="AJ35" s="31" t="s">
        <v>1052</v>
      </c>
      <c r="AK35" s="31" t="s">
        <v>1053</v>
      </c>
      <c r="AL35" s="32" t="s">
        <v>1054</v>
      </c>
      <c r="AM35" s="31" t="s">
        <v>1055</v>
      </c>
      <c r="AN35" s="31">
        <v>-33270141430</v>
      </c>
      <c r="AO35" s="30" t="s">
        <v>1056</v>
      </c>
      <c r="AP35" s="31">
        <v>620</v>
      </c>
      <c r="AQ35" s="31" t="s">
        <v>1057</v>
      </c>
      <c r="AR35" s="30">
        <v>61</v>
      </c>
    </row>
    <row r="36" spans="1:47" ht="15.75" customHeight="1">
      <c r="A36" s="9" t="s">
        <v>1007</v>
      </c>
      <c r="B36" s="10" t="s">
        <v>1008</v>
      </c>
      <c r="C36" s="25" t="s">
        <v>1009</v>
      </c>
      <c r="D36" s="12" t="s">
        <v>115</v>
      </c>
      <c r="E36" s="13" t="s">
        <v>47</v>
      </c>
      <c r="F36" s="30">
        <v>0.25729999999999997</v>
      </c>
      <c r="G36" s="30">
        <v>0</v>
      </c>
      <c r="H36" s="30">
        <v>3.3999999999999998E-3</v>
      </c>
      <c r="I36" s="30">
        <v>1.9400000000000001E-2</v>
      </c>
      <c r="J36" s="31" t="s">
        <v>1058</v>
      </c>
      <c r="K36" s="31" t="s">
        <v>1059</v>
      </c>
      <c r="L36" s="31" t="s">
        <v>1060</v>
      </c>
      <c r="M36" s="31" t="s">
        <v>1061</v>
      </c>
      <c r="N36" s="31" t="s">
        <v>1062</v>
      </c>
      <c r="O36" s="31" t="s">
        <v>1063</v>
      </c>
      <c r="P36" s="31" t="s">
        <v>1064</v>
      </c>
      <c r="Q36" s="32">
        <v>308372798708</v>
      </c>
      <c r="R36" s="32">
        <v>70516864247</v>
      </c>
      <c r="S36" s="31" t="s">
        <v>1065</v>
      </c>
      <c r="T36" s="32">
        <v>489675302349</v>
      </c>
      <c r="U36" s="35" t="s">
        <v>1066</v>
      </c>
      <c r="V36" s="31" t="s">
        <v>1067</v>
      </c>
      <c r="W36" s="31" t="s">
        <v>1068</v>
      </c>
      <c r="X36" s="30">
        <v>0</v>
      </c>
      <c r="Y36" s="30">
        <v>1</v>
      </c>
      <c r="Z36" s="31">
        <v>1</v>
      </c>
      <c r="AA36" s="31" t="s">
        <v>1069</v>
      </c>
      <c r="AB36" s="31" t="s">
        <v>1070</v>
      </c>
      <c r="AC36" s="31" t="s">
        <v>1071</v>
      </c>
      <c r="AD36" s="31" t="s">
        <v>1072</v>
      </c>
      <c r="AE36" s="31" t="s">
        <v>1073</v>
      </c>
      <c r="AF36" s="31">
        <v>-3717127362</v>
      </c>
      <c r="AG36" s="31" t="s">
        <v>1074</v>
      </c>
      <c r="AH36" s="31" t="s">
        <v>1075</v>
      </c>
      <c r="AI36" s="31" t="s">
        <v>1028</v>
      </c>
      <c r="AJ36" s="31" t="s">
        <v>1076</v>
      </c>
      <c r="AK36" s="31" t="s">
        <v>1077</v>
      </c>
      <c r="AL36" s="32" t="s">
        <v>1078</v>
      </c>
      <c r="AM36" s="31" t="s">
        <v>1079</v>
      </c>
      <c r="AN36" s="31">
        <v>-44373127200</v>
      </c>
      <c r="AO36" s="30">
        <v>65</v>
      </c>
      <c r="AP36" s="31">
        <v>754</v>
      </c>
      <c r="AQ36" s="31" t="s">
        <v>1080</v>
      </c>
      <c r="AR36" s="30">
        <v>62</v>
      </c>
    </row>
    <row r="37" spans="1:47" ht="15.75" customHeight="1">
      <c r="A37" s="9" t="s">
        <v>1007</v>
      </c>
      <c r="B37" s="10" t="s">
        <v>1008</v>
      </c>
      <c r="C37" s="25" t="s">
        <v>1009</v>
      </c>
      <c r="D37" s="12" t="s">
        <v>148</v>
      </c>
      <c r="E37" s="13" t="s">
        <v>47</v>
      </c>
      <c r="F37" s="30">
        <v>0.25729999999999997</v>
      </c>
      <c r="G37" s="30">
        <v>0</v>
      </c>
      <c r="H37" s="30">
        <v>3.3999999999999998E-3</v>
      </c>
      <c r="I37" s="30">
        <v>1.9400000000000001E-2</v>
      </c>
      <c r="J37" s="31" t="s">
        <v>1058</v>
      </c>
      <c r="K37" s="31" t="s">
        <v>1081</v>
      </c>
      <c r="L37" s="31" t="s">
        <v>1082</v>
      </c>
      <c r="M37" s="36">
        <v>1275256787112</v>
      </c>
      <c r="N37" s="31" t="s">
        <v>1083</v>
      </c>
      <c r="O37" s="31" t="s">
        <v>1084</v>
      </c>
      <c r="P37" s="32">
        <v>1243566587</v>
      </c>
      <c r="Q37" s="32">
        <v>72136789000</v>
      </c>
      <c r="R37" s="32">
        <v>30891743577</v>
      </c>
      <c r="S37" s="31" t="s">
        <v>1085</v>
      </c>
      <c r="T37" s="33" t="s">
        <v>1086</v>
      </c>
      <c r="U37" s="33" t="s">
        <v>1087</v>
      </c>
      <c r="V37" s="31">
        <v>46976690994</v>
      </c>
      <c r="W37" s="31" t="s">
        <v>1088</v>
      </c>
      <c r="X37" s="30">
        <v>0</v>
      </c>
      <c r="Y37" s="30">
        <v>0</v>
      </c>
      <c r="Z37" s="31">
        <v>0</v>
      </c>
      <c r="AA37" s="31" t="s">
        <v>1089</v>
      </c>
      <c r="AB37" s="37">
        <v>1204198187857</v>
      </c>
      <c r="AC37" s="31" t="s">
        <v>1090</v>
      </c>
      <c r="AD37" s="36">
        <v>71058599255</v>
      </c>
      <c r="AE37" s="33" t="s">
        <v>1091</v>
      </c>
      <c r="AF37" s="33" t="s">
        <v>1092</v>
      </c>
      <c r="AG37" s="32">
        <v>-49919510846</v>
      </c>
      <c r="AH37" s="31" t="s">
        <v>1093</v>
      </c>
      <c r="AI37" s="31" t="s">
        <v>1028</v>
      </c>
      <c r="AJ37" s="31" t="s">
        <v>1094</v>
      </c>
      <c r="AK37" s="36">
        <v>71043599255</v>
      </c>
      <c r="AL37" s="32" t="s">
        <v>1095</v>
      </c>
      <c r="AM37" s="31" t="s">
        <v>1096</v>
      </c>
      <c r="AN37" s="38" t="s">
        <v>1097</v>
      </c>
      <c r="AO37" s="30">
        <v>160</v>
      </c>
      <c r="AP37" s="31">
        <v>563</v>
      </c>
      <c r="AQ37" s="31" t="s">
        <v>1098</v>
      </c>
      <c r="AR37" s="30">
        <v>63</v>
      </c>
    </row>
    <row r="38" spans="1:47" ht="15.75" customHeight="1">
      <c r="A38" s="9" t="s">
        <v>1007</v>
      </c>
      <c r="B38" s="10" t="s">
        <v>1008</v>
      </c>
      <c r="C38" s="25" t="s">
        <v>1009</v>
      </c>
      <c r="D38" s="12" t="s">
        <v>180</v>
      </c>
      <c r="E38" s="13" t="s">
        <v>47</v>
      </c>
      <c r="F38" s="30">
        <v>0.25729999999999997</v>
      </c>
      <c r="G38" s="30">
        <v>0</v>
      </c>
      <c r="H38" s="30">
        <v>3.3999999999999998E-3</v>
      </c>
      <c r="I38" s="30">
        <v>1.9400000000000001E-2</v>
      </c>
      <c r="J38" s="31" t="s">
        <v>1058</v>
      </c>
      <c r="K38" s="31">
        <v>419480597595</v>
      </c>
      <c r="L38" s="31" t="s">
        <v>1099</v>
      </c>
      <c r="M38" s="31" t="s">
        <v>1100</v>
      </c>
      <c r="N38" s="31" t="s">
        <v>1101</v>
      </c>
      <c r="O38" s="31" t="s">
        <v>1102</v>
      </c>
      <c r="P38" s="33" t="s">
        <v>1103</v>
      </c>
      <c r="Q38" s="33" t="s">
        <v>1104</v>
      </c>
      <c r="R38" s="32">
        <v>133807743317</v>
      </c>
      <c r="S38" s="31">
        <v>253217803488</v>
      </c>
      <c r="T38" s="33" t="s">
        <v>1105</v>
      </c>
      <c r="U38" s="33" t="s">
        <v>1106</v>
      </c>
      <c r="V38" s="30" t="s">
        <v>1107</v>
      </c>
      <c r="W38" s="30" t="s">
        <v>1108</v>
      </c>
      <c r="X38" s="30">
        <v>0</v>
      </c>
      <c r="Y38" s="30">
        <v>0</v>
      </c>
      <c r="Z38" s="31">
        <v>0</v>
      </c>
      <c r="AA38" s="31" t="s">
        <v>1109</v>
      </c>
      <c r="AB38" s="31" t="s">
        <v>1110</v>
      </c>
      <c r="AC38" s="31" t="s">
        <v>1111</v>
      </c>
      <c r="AD38" s="31" t="s">
        <v>1112</v>
      </c>
      <c r="AE38" s="38" t="s">
        <v>1113</v>
      </c>
      <c r="AF38" s="33" t="s">
        <v>1114</v>
      </c>
      <c r="AG38" s="32">
        <v>-516247953649</v>
      </c>
      <c r="AH38" s="31" t="s">
        <v>1115</v>
      </c>
      <c r="AI38" s="36">
        <v>95679193832</v>
      </c>
      <c r="AJ38" s="31" t="s">
        <v>1116</v>
      </c>
      <c r="AK38" s="31" t="s">
        <v>1117</v>
      </c>
      <c r="AL38" s="32" t="s">
        <v>1118</v>
      </c>
      <c r="AM38" s="31" t="s">
        <v>1119</v>
      </c>
      <c r="AN38" s="39"/>
      <c r="AO38" s="30">
        <v>916</v>
      </c>
      <c r="AP38" s="30" t="s">
        <v>1120</v>
      </c>
      <c r="AQ38" s="31">
        <v>377095309936</v>
      </c>
      <c r="AR38" s="30">
        <v>64</v>
      </c>
    </row>
    <row r="39" spans="1:47" ht="15.75" customHeight="1">
      <c r="A39" s="16" t="s">
        <v>1121</v>
      </c>
      <c r="B39" s="17" t="s">
        <v>1122</v>
      </c>
      <c r="C39" s="25" t="s">
        <v>1123</v>
      </c>
      <c r="D39" s="16" t="s">
        <v>46</v>
      </c>
      <c r="E39" s="40" t="s">
        <v>1124</v>
      </c>
      <c r="F39" s="41" t="s">
        <v>849</v>
      </c>
      <c r="G39" s="41" t="s">
        <v>849</v>
      </c>
      <c r="H39" s="41" t="s">
        <v>849</v>
      </c>
      <c r="I39" s="41" t="s">
        <v>1125</v>
      </c>
      <c r="J39" s="42">
        <v>15052615</v>
      </c>
      <c r="K39" s="42">
        <v>690359171062</v>
      </c>
      <c r="L39" s="42">
        <v>688442932490</v>
      </c>
      <c r="M39" s="42">
        <v>373143857569</v>
      </c>
      <c r="N39" s="42">
        <v>14997232723</v>
      </c>
      <c r="O39" s="42">
        <v>21909339354</v>
      </c>
      <c r="P39" s="42">
        <v>0</v>
      </c>
      <c r="Q39" s="42">
        <v>81875654651</v>
      </c>
      <c r="R39" s="42">
        <v>50907421546</v>
      </c>
      <c r="S39" s="42">
        <v>177583789343</v>
      </c>
      <c r="T39" s="42">
        <v>353427196511</v>
      </c>
      <c r="U39" s="42">
        <v>2988379350</v>
      </c>
      <c r="V39" s="42">
        <v>7670984321</v>
      </c>
      <c r="W39" s="42">
        <v>315241363574</v>
      </c>
      <c r="X39" s="42">
        <v>0</v>
      </c>
      <c r="Y39" s="41">
        <v>0</v>
      </c>
      <c r="Z39" s="42">
        <v>1</v>
      </c>
      <c r="AA39" s="42">
        <v>19297162849</v>
      </c>
      <c r="AB39" s="42">
        <v>214413528340</v>
      </c>
      <c r="AC39" s="42">
        <v>262246658530</v>
      </c>
      <c r="AD39" s="42">
        <v>158730329229</v>
      </c>
      <c r="AE39" s="42">
        <v>-4418740823</v>
      </c>
      <c r="AF39" s="42">
        <v>-969460419</v>
      </c>
      <c r="AG39" s="42">
        <v>-24156556317</v>
      </c>
      <c r="AH39" s="42">
        <v>54845957638</v>
      </c>
      <c r="AI39" s="42">
        <v>0</v>
      </c>
      <c r="AJ39" s="42">
        <v>319600037322</v>
      </c>
      <c r="AK39" s="42">
        <v>158730329229</v>
      </c>
      <c r="AL39" s="42" t="s">
        <v>1126</v>
      </c>
      <c r="AM39" s="42">
        <v>110924512738</v>
      </c>
      <c r="AN39" s="42">
        <v>-12052892400</v>
      </c>
      <c r="AO39" s="42">
        <v>1282</v>
      </c>
      <c r="AP39" s="42">
        <v>268</v>
      </c>
      <c r="AQ39" s="42">
        <v>49418106515</v>
      </c>
      <c r="AR39" s="42">
        <v>21</v>
      </c>
      <c r="AS39" s="43"/>
      <c r="AT39" s="43"/>
      <c r="AU39" s="43"/>
    </row>
    <row r="40" spans="1:47" ht="15.75" customHeight="1">
      <c r="A40" s="16" t="s">
        <v>1121</v>
      </c>
      <c r="B40" s="17" t="s">
        <v>1122</v>
      </c>
      <c r="C40" s="25" t="s">
        <v>1123</v>
      </c>
      <c r="D40" s="16" t="s">
        <v>82</v>
      </c>
      <c r="E40" s="40" t="s">
        <v>1124</v>
      </c>
      <c r="F40" s="41" t="s">
        <v>1127</v>
      </c>
      <c r="G40" s="41" t="s">
        <v>849</v>
      </c>
      <c r="H40" s="41" t="s">
        <v>849</v>
      </c>
      <c r="I40" s="41" t="s">
        <v>1125</v>
      </c>
      <c r="J40" s="42">
        <v>15052615</v>
      </c>
      <c r="K40" s="42">
        <v>431744238526</v>
      </c>
      <c r="L40" s="42">
        <v>431297784157</v>
      </c>
      <c r="M40" s="42">
        <v>333795940264</v>
      </c>
      <c r="N40" s="42">
        <v>16349108730</v>
      </c>
      <c r="O40" s="42">
        <v>17991810988</v>
      </c>
      <c r="P40" s="42">
        <v>0</v>
      </c>
      <c r="Q40" s="42">
        <v>84563235927</v>
      </c>
      <c r="R40" s="42">
        <v>46961106198</v>
      </c>
      <c r="S40" s="42">
        <v>219085284453</v>
      </c>
      <c r="T40" s="42">
        <v>47187124683</v>
      </c>
      <c r="U40" s="42">
        <v>1066218087</v>
      </c>
      <c r="V40" s="42">
        <v>11261380455</v>
      </c>
      <c r="W40" s="42">
        <v>358638271783</v>
      </c>
      <c r="X40" s="42">
        <v>0</v>
      </c>
      <c r="Y40" s="41">
        <v>0</v>
      </c>
      <c r="Z40" s="42">
        <v>1</v>
      </c>
      <c r="AA40" s="42">
        <v>22591406095</v>
      </c>
      <c r="AB40" s="42">
        <v>222992693281</v>
      </c>
      <c r="AC40" s="42">
        <v>321298067175</v>
      </c>
      <c r="AD40" s="42">
        <v>110803246983</v>
      </c>
      <c r="AE40" s="42">
        <v>-657431221</v>
      </c>
      <c r="AF40" s="42">
        <v>-751496363</v>
      </c>
      <c r="AG40" s="42">
        <v>20190071026</v>
      </c>
      <c r="AH40" s="42">
        <v>24525781740</v>
      </c>
      <c r="AI40" s="42">
        <v>0</v>
      </c>
      <c r="AJ40" s="42">
        <v>244557378946</v>
      </c>
      <c r="AK40" s="42">
        <v>110803246983</v>
      </c>
      <c r="AL40" s="42" t="s">
        <v>1128</v>
      </c>
      <c r="AM40" s="42">
        <v>110453264874</v>
      </c>
      <c r="AN40" s="42">
        <v>-11220827498</v>
      </c>
      <c r="AO40" s="42">
        <v>1501</v>
      </c>
      <c r="AP40" s="42">
        <v>280</v>
      </c>
      <c r="AQ40" s="42">
        <v>35675156173</v>
      </c>
      <c r="AR40" s="42">
        <v>22</v>
      </c>
      <c r="AS40" s="43"/>
      <c r="AT40" s="43"/>
      <c r="AU40" s="43"/>
    </row>
    <row r="41" spans="1:47" ht="15.75" customHeight="1">
      <c r="A41" s="16" t="s">
        <v>1121</v>
      </c>
      <c r="B41" s="17" t="s">
        <v>1122</v>
      </c>
      <c r="C41" s="25" t="s">
        <v>1123</v>
      </c>
      <c r="D41" s="16" t="s">
        <v>115</v>
      </c>
      <c r="E41" s="40" t="s">
        <v>1124</v>
      </c>
      <c r="F41" s="41" t="s">
        <v>1127</v>
      </c>
      <c r="G41" s="41" t="s">
        <v>849</v>
      </c>
      <c r="H41" s="41" t="s">
        <v>849</v>
      </c>
      <c r="I41" s="41" t="s">
        <v>1129</v>
      </c>
      <c r="J41" s="42">
        <v>15052615</v>
      </c>
      <c r="K41" s="42">
        <v>515772530738</v>
      </c>
      <c r="L41" s="42">
        <v>514599490418</v>
      </c>
      <c r="M41" s="42">
        <v>311411429487</v>
      </c>
      <c r="N41" s="42">
        <v>16749049400</v>
      </c>
      <c r="O41" s="42">
        <v>16639190044</v>
      </c>
      <c r="P41" s="42">
        <v>0</v>
      </c>
      <c r="Q41" s="42">
        <v>42923766378</v>
      </c>
      <c r="R41" s="42">
        <v>28972143860</v>
      </c>
      <c r="S41" s="42">
        <v>401405764350</v>
      </c>
      <c r="T41" s="42">
        <v>40770689726</v>
      </c>
      <c r="U41" s="42">
        <v>4603300441</v>
      </c>
      <c r="V41" s="42">
        <v>24048382233</v>
      </c>
      <c r="W41" s="42">
        <v>500322865351</v>
      </c>
      <c r="X41" s="42">
        <v>0</v>
      </c>
      <c r="Y41" s="41" t="s">
        <v>43</v>
      </c>
      <c r="Z41" s="42">
        <v>1</v>
      </c>
      <c r="AA41" s="42">
        <v>11279300476</v>
      </c>
      <c r="AB41" s="42">
        <v>232029390939</v>
      </c>
      <c r="AC41" s="42">
        <v>180375485545</v>
      </c>
      <c r="AD41" s="42">
        <v>79382038548</v>
      </c>
      <c r="AE41" s="42">
        <v>17513963090</v>
      </c>
      <c r="AF41" s="42">
        <v>-10170446172</v>
      </c>
      <c r="AG41" s="42">
        <v>-1580707887</v>
      </c>
      <c r="AH41" s="42">
        <v>5267205138</v>
      </c>
      <c r="AI41" s="42">
        <v>0</v>
      </c>
      <c r="AJ41" s="42">
        <v>222154848703</v>
      </c>
      <c r="AK41" s="42">
        <v>79382038548</v>
      </c>
      <c r="AL41" s="42" t="s">
        <v>1130</v>
      </c>
      <c r="AM41" s="42">
        <v>120300343167</v>
      </c>
      <c r="AN41" s="42">
        <v>-35191831805</v>
      </c>
      <c r="AO41" s="42">
        <v>749</v>
      </c>
      <c r="AP41" s="42">
        <v>285</v>
      </c>
      <c r="AQ41" s="42">
        <v>34627488746</v>
      </c>
      <c r="AR41" s="41">
        <v>23</v>
      </c>
      <c r="AS41" s="43"/>
      <c r="AT41" s="43"/>
      <c r="AU41" s="43"/>
    </row>
    <row r="42" spans="1:47" ht="15.75" customHeight="1">
      <c r="A42" s="16" t="s">
        <v>1121</v>
      </c>
      <c r="B42" s="17" t="s">
        <v>1122</v>
      </c>
      <c r="C42" s="25" t="s">
        <v>1123</v>
      </c>
      <c r="D42" s="16" t="s">
        <v>148</v>
      </c>
      <c r="E42" s="40" t="s">
        <v>1124</v>
      </c>
      <c r="F42" s="41" t="s">
        <v>1131</v>
      </c>
      <c r="G42" s="41" t="s">
        <v>849</v>
      </c>
      <c r="H42" s="41" t="s">
        <v>1127</v>
      </c>
      <c r="I42" s="41" t="s">
        <v>1132</v>
      </c>
      <c r="J42" s="42">
        <v>15052615</v>
      </c>
      <c r="K42" s="42">
        <v>494021420795</v>
      </c>
      <c r="L42" s="42">
        <v>492833545275</v>
      </c>
      <c r="M42" s="42">
        <v>319084683757</v>
      </c>
      <c r="N42" s="42">
        <v>15480648691</v>
      </c>
      <c r="O42" s="42">
        <v>19997912550</v>
      </c>
      <c r="P42" s="42">
        <v>0</v>
      </c>
      <c r="Q42" s="42">
        <v>43864353143</v>
      </c>
      <c r="R42" s="42">
        <v>34529010629</v>
      </c>
      <c r="S42" s="42">
        <v>367349415828</v>
      </c>
      <c r="T42" s="42" t="s">
        <v>1133</v>
      </c>
      <c r="U42" s="42">
        <v>0</v>
      </c>
      <c r="V42" s="42">
        <v>24561830552</v>
      </c>
      <c r="W42" s="42">
        <v>469503449279</v>
      </c>
      <c r="X42" s="42">
        <v>0</v>
      </c>
      <c r="Y42" s="41">
        <v>0</v>
      </c>
      <c r="Z42" s="42">
        <v>1</v>
      </c>
      <c r="AA42" s="42">
        <v>17441963130</v>
      </c>
      <c r="AB42" s="42">
        <v>248343424021</v>
      </c>
      <c r="AC42" s="42">
        <v>422195745520</v>
      </c>
      <c r="AD42" s="42">
        <v>70741259736</v>
      </c>
      <c r="AE42" s="42">
        <v>34520529155</v>
      </c>
      <c r="AF42" s="42">
        <v>-1995705031</v>
      </c>
      <c r="AG42" s="42">
        <v>-26932162850</v>
      </c>
      <c r="AH42" s="42">
        <v>11160504865</v>
      </c>
      <c r="AI42" s="42">
        <v>0</v>
      </c>
      <c r="AJ42" s="42">
        <v>237818943441</v>
      </c>
      <c r="AK42" s="42">
        <v>70741259736</v>
      </c>
      <c r="AL42" s="42" t="s">
        <v>1134</v>
      </c>
      <c r="AM42" s="42">
        <v>109825325972</v>
      </c>
      <c r="AN42" s="42">
        <v>-1696591778</v>
      </c>
      <c r="AO42" s="42">
        <v>1159</v>
      </c>
      <c r="AP42" s="42">
        <v>272</v>
      </c>
      <c r="AQ42" s="42">
        <v>24732426977</v>
      </c>
      <c r="AR42" s="42">
        <v>24</v>
      </c>
      <c r="AS42" s="43"/>
      <c r="AT42" s="43"/>
      <c r="AU42" s="43"/>
    </row>
    <row r="43" spans="1:47" ht="15.75" customHeight="1">
      <c r="A43" s="16" t="s">
        <v>1121</v>
      </c>
      <c r="B43" s="17" t="s">
        <v>1122</v>
      </c>
      <c r="C43" s="25" t="s">
        <v>1123</v>
      </c>
      <c r="D43" s="16" t="s">
        <v>180</v>
      </c>
      <c r="E43" s="40" t="s">
        <v>1124</v>
      </c>
      <c r="F43" s="41" t="s">
        <v>1135</v>
      </c>
      <c r="G43" s="41" t="s">
        <v>849</v>
      </c>
      <c r="H43" s="41" t="s">
        <v>1136</v>
      </c>
      <c r="I43" s="44" t="s">
        <v>849</v>
      </c>
      <c r="J43" s="42">
        <v>18062331</v>
      </c>
      <c r="K43" s="42">
        <v>467307693861</v>
      </c>
      <c r="L43" s="42">
        <v>466605824421</v>
      </c>
      <c r="M43" s="42">
        <v>317695500958</v>
      </c>
      <c r="N43" s="42">
        <v>14568304136</v>
      </c>
      <c r="O43" s="42">
        <v>21906341605</v>
      </c>
      <c r="P43" s="42">
        <v>0</v>
      </c>
      <c r="Q43" s="42">
        <v>43645795124</v>
      </c>
      <c r="R43" s="42">
        <v>48520328939</v>
      </c>
      <c r="S43" s="42">
        <v>305367341173</v>
      </c>
      <c r="T43" s="42">
        <v>38841230994</v>
      </c>
      <c r="U43" s="42">
        <v>0</v>
      </c>
      <c r="V43" s="42">
        <v>23403335536</v>
      </c>
      <c r="W43" s="42">
        <v>401411084353</v>
      </c>
      <c r="X43" s="42">
        <v>0</v>
      </c>
      <c r="Y43" s="41">
        <v>0</v>
      </c>
      <c r="Z43" s="42">
        <v>1</v>
      </c>
      <c r="AA43" s="42">
        <v>30114049356</v>
      </c>
      <c r="AB43" s="42">
        <v>276713277064</v>
      </c>
      <c r="AC43" s="42">
        <v>507966934713</v>
      </c>
      <c r="AD43" s="42">
        <v>40982223894</v>
      </c>
      <c r="AE43" s="42">
        <v>93445808277</v>
      </c>
      <c r="AF43" s="42">
        <v>-1569840160</v>
      </c>
      <c r="AG43" s="42">
        <v>-59540860430</v>
      </c>
      <c r="AH43" s="42">
        <v>16906377798</v>
      </c>
      <c r="AI43" s="42">
        <v>0</v>
      </c>
      <c r="AJ43" s="42">
        <v>294219098541</v>
      </c>
      <c r="AK43" s="42">
        <v>40982223894</v>
      </c>
      <c r="AL43" s="42" t="s">
        <v>1137</v>
      </c>
      <c r="AM43" s="42">
        <v>61637465146</v>
      </c>
      <c r="AN43" s="42">
        <v>-28159074914</v>
      </c>
      <c r="AO43" s="42">
        <v>1667</v>
      </c>
      <c r="AP43" s="42">
        <v>264</v>
      </c>
      <c r="AQ43" s="42">
        <v>17047423327</v>
      </c>
      <c r="AR43" s="42">
        <v>25</v>
      </c>
      <c r="AS43" s="43"/>
      <c r="AT43" s="43"/>
      <c r="AU43" s="43"/>
    </row>
    <row r="44" spans="1:47" ht="15.75" customHeight="1">
      <c r="A44" s="9" t="s">
        <v>1138</v>
      </c>
      <c r="B44" s="45" t="s">
        <v>1139</v>
      </c>
      <c r="C44" s="25" t="s">
        <v>1140</v>
      </c>
      <c r="D44" s="9" t="s">
        <v>46</v>
      </c>
      <c r="E44" s="13" t="s">
        <v>1141</v>
      </c>
      <c r="F44" s="33" t="s">
        <v>1142</v>
      </c>
      <c r="G44" s="33" t="s">
        <v>1143</v>
      </c>
      <c r="H44" s="33" t="s">
        <v>1144</v>
      </c>
      <c r="I44" s="33" t="s">
        <v>1145</v>
      </c>
      <c r="J44" s="31">
        <v>227644608</v>
      </c>
      <c r="K44" s="31">
        <v>6373782222183</v>
      </c>
      <c r="L44" s="31">
        <v>6366756379468</v>
      </c>
      <c r="M44" s="31">
        <v>7713635990930</v>
      </c>
      <c r="N44" s="31">
        <v>141379654686</v>
      </c>
      <c r="O44" s="31">
        <v>39659748947</v>
      </c>
      <c r="P44" s="31">
        <v>188355179136</v>
      </c>
      <c r="Q44" s="31">
        <v>476795195663</v>
      </c>
      <c r="R44" s="32">
        <v>519054398621</v>
      </c>
      <c r="S44" s="31">
        <v>2076567085564</v>
      </c>
      <c r="T44" s="33" t="s">
        <v>1146</v>
      </c>
      <c r="U44" s="31">
        <v>6218859296</v>
      </c>
      <c r="V44" s="31">
        <v>194517485907</v>
      </c>
      <c r="W44" s="31">
        <v>2889906203146</v>
      </c>
      <c r="X44" s="30" t="s">
        <v>1147</v>
      </c>
      <c r="Y44" s="30">
        <v>0</v>
      </c>
      <c r="Z44" s="30">
        <v>1</v>
      </c>
      <c r="AA44" s="31">
        <v>107133325474</v>
      </c>
      <c r="AB44" s="31">
        <v>2998684172328</v>
      </c>
      <c r="AC44" s="31">
        <v>1297346620992</v>
      </c>
      <c r="AD44" s="31">
        <v>4714951818602</v>
      </c>
      <c r="AE44" s="32">
        <v>-33459672644</v>
      </c>
      <c r="AF44" s="32">
        <v>-942644491419</v>
      </c>
      <c r="AG44" s="31">
        <v>-300493149778</v>
      </c>
      <c r="AH44" s="31">
        <v>539329706401</v>
      </c>
      <c r="AI44" s="31">
        <v>449025713693</v>
      </c>
      <c r="AJ44" s="31">
        <v>5426502454202</v>
      </c>
      <c r="AK44" s="31">
        <v>4265926104909</v>
      </c>
      <c r="AL44" s="33" t="s">
        <v>1148</v>
      </c>
      <c r="AM44" s="31">
        <v>1507905050766</v>
      </c>
      <c r="AN44" s="46"/>
      <c r="AO44" s="31">
        <v>421</v>
      </c>
      <c r="AP44" s="31">
        <v>3696</v>
      </c>
      <c r="AQ44" s="31">
        <v>705627520365</v>
      </c>
      <c r="AR44" s="30">
        <v>17</v>
      </c>
    </row>
    <row r="45" spans="1:47" ht="15.75" customHeight="1">
      <c r="A45" s="9" t="s">
        <v>1138</v>
      </c>
      <c r="B45" s="45" t="s">
        <v>1139</v>
      </c>
      <c r="C45" s="25" t="s">
        <v>1140</v>
      </c>
      <c r="D45" s="9" t="s">
        <v>82</v>
      </c>
      <c r="E45" s="13" t="s">
        <v>1141</v>
      </c>
      <c r="F45" s="33" t="s">
        <v>85</v>
      </c>
      <c r="G45" s="33" t="s">
        <v>1143</v>
      </c>
      <c r="H45" s="33" t="s">
        <v>1149</v>
      </c>
      <c r="I45" s="33" t="s">
        <v>1150</v>
      </c>
      <c r="J45" s="31">
        <v>227644608</v>
      </c>
      <c r="K45" s="32">
        <v>5722220126875</v>
      </c>
      <c r="L45" s="32">
        <v>5718847615988</v>
      </c>
      <c r="M45" s="32">
        <v>7553858512578</v>
      </c>
      <c r="N45" s="32">
        <v>172120430245</v>
      </c>
      <c r="O45" s="32">
        <v>37983524232</v>
      </c>
      <c r="P45" s="36">
        <v>192126184379</v>
      </c>
      <c r="Q45" s="32">
        <v>454579696733</v>
      </c>
      <c r="R45" s="32">
        <v>531524522996</v>
      </c>
      <c r="S45" s="32">
        <v>1700867482065</v>
      </c>
      <c r="T45" s="33" t="s">
        <v>1151</v>
      </c>
      <c r="U45" s="32">
        <v>20919681317</v>
      </c>
      <c r="V45" s="32">
        <v>209941683096</v>
      </c>
      <c r="W45" s="32">
        <v>2412804167610</v>
      </c>
      <c r="X45" s="30" t="s">
        <v>1147</v>
      </c>
      <c r="Y45" s="30" t="s">
        <v>43</v>
      </c>
      <c r="Z45" s="30" t="s">
        <v>49</v>
      </c>
      <c r="AA45" s="32">
        <v>143297848497</v>
      </c>
      <c r="AB45" s="32">
        <v>3142608308304</v>
      </c>
      <c r="AC45" s="31">
        <v>2827991155504</v>
      </c>
      <c r="AD45" s="32">
        <v>4411250204274</v>
      </c>
      <c r="AE45" s="32">
        <v>254641848742</v>
      </c>
      <c r="AF45" s="32">
        <v>-248596831057</v>
      </c>
      <c r="AG45" s="31">
        <v>-81102693271</v>
      </c>
      <c r="AH45" s="32">
        <v>357187445214</v>
      </c>
      <c r="AI45" s="32">
        <v>295362742313</v>
      </c>
      <c r="AJ45" s="32">
        <v>5515277880604</v>
      </c>
      <c r="AK45" s="47">
        <v>4115887461961</v>
      </c>
      <c r="AL45" s="33" t="s">
        <v>1152</v>
      </c>
      <c r="AM45" s="31">
        <v>1278604020897</v>
      </c>
      <c r="AN45" s="31">
        <v>-79049209</v>
      </c>
      <c r="AO45" s="31">
        <v>591</v>
      </c>
      <c r="AP45" s="31">
        <v>3547</v>
      </c>
      <c r="AQ45" s="31">
        <v>654052262847</v>
      </c>
      <c r="AR45" s="30" t="s">
        <v>81</v>
      </c>
    </row>
    <row r="46" spans="1:47" ht="15.75" customHeight="1">
      <c r="A46" s="9" t="s">
        <v>1138</v>
      </c>
      <c r="B46" s="45" t="s">
        <v>1139</v>
      </c>
      <c r="C46" s="25" t="s">
        <v>1140</v>
      </c>
      <c r="D46" s="9" t="s">
        <v>115</v>
      </c>
      <c r="E46" s="13" t="s">
        <v>1141</v>
      </c>
      <c r="F46" s="33" t="s">
        <v>85</v>
      </c>
      <c r="G46" s="33" t="s">
        <v>1143</v>
      </c>
      <c r="H46" s="33" t="s">
        <v>1153</v>
      </c>
      <c r="I46" s="33" t="s">
        <v>1154</v>
      </c>
      <c r="J46" s="31">
        <v>227644608</v>
      </c>
      <c r="K46" s="32">
        <v>7936928513112</v>
      </c>
      <c r="L46" s="32">
        <v>7930524208467</v>
      </c>
      <c r="M46" s="32">
        <v>8084108337857</v>
      </c>
      <c r="N46" s="32">
        <v>307901991808</v>
      </c>
      <c r="O46" s="32">
        <v>60985184872</v>
      </c>
      <c r="P46" s="31">
        <v>188355179136</v>
      </c>
      <c r="Q46" s="32">
        <v>575747800338</v>
      </c>
      <c r="R46" s="32">
        <v>969681819288</v>
      </c>
      <c r="S46" s="32">
        <v>2784698984478</v>
      </c>
      <c r="T46" s="33" t="s">
        <v>1155</v>
      </c>
      <c r="U46" s="32">
        <v>50537925079</v>
      </c>
      <c r="V46" s="32">
        <v>354617683997</v>
      </c>
      <c r="W46" s="32">
        <v>3717954607056</v>
      </c>
      <c r="X46" s="30" t="s">
        <v>1147</v>
      </c>
      <c r="Y46" s="30">
        <v>0</v>
      </c>
      <c r="Z46" s="30">
        <v>1</v>
      </c>
      <c r="AA46" s="32">
        <v>563146438609</v>
      </c>
      <c r="AB46" s="32">
        <v>3366419957171</v>
      </c>
      <c r="AC46" s="31">
        <v>2072931800448</v>
      </c>
      <c r="AD46" s="32">
        <v>4717688380686</v>
      </c>
      <c r="AE46" s="32">
        <v>530468517553</v>
      </c>
      <c r="AF46" s="32">
        <v>-261830776446</v>
      </c>
      <c r="AG46" s="31">
        <v>-59117756016</v>
      </c>
      <c r="AH46" s="32">
        <v>640790543399</v>
      </c>
      <c r="AI46" s="32">
        <v>193237735468</v>
      </c>
      <c r="AJ46" s="32" t="s">
        <v>1156</v>
      </c>
      <c r="AK46" s="47">
        <v>4524450645218</v>
      </c>
      <c r="AL46" s="33" t="s">
        <v>1157</v>
      </c>
      <c r="AM46" s="31">
        <v>1535483350524</v>
      </c>
      <c r="AN46" s="31">
        <v>-333293876045</v>
      </c>
      <c r="AO46" s="31">
        <v>2404</v>
      </c>
      <c r="AP46" s="47">
        <v>3620</v>
      </c>
      <c r="AQ46" s="31">
        <v>617922499071</v>
      </c>
      <c r="AR46" s="30" t="s">
        <v>114</v>
      </c>
    </row>
    <row r="47" spans="1:47" ht="15.75" customHeight="1">
      <c r="A47" s="9" t="s">
        <v>1138</v>
      </c>
      <c r="B47" s="45" t="s">
        <v>1139</v>
      </c>
      <c r="C47" s="25" t="s">
        <v>1140</v>
      </c>
      <c r="D47" s="9" t="s">
        <v>148</v>
      </c>
      <c r="E47" s="13" t="s">
        <v>1141</v>
      </c>
      <c r="F47" s="33" t="s">
        <v>1143</v>
      </c>
      <c r="G47" s="33" t="s">
        <v>1143</v>
      </c>
      <c r="H47" s="33" t="s">
        <v>1158</v>
      </c>
      <c r="I47" s="33" t="s">
        <v>1159</v>
      </c>
      <c r="J47" s="31">
        <v>227644608</v>
      </c>
      <c r="K47" s="32">
        <v>7224145254447</v>
      </c>
      <c r="L47" s="32">
        <v>7221239488941</v>
      </c>
      <c r="M47" s="32">
        <v>8277448262143</v>
      </c>
      <c r="N47" s="32">
        <v>131904565161</v>
      </c>
      <c r="O47" s="32">
        <v>89803602061</v>
      </c>
      <c r="P47" s="36">
        <v>146269422735</v>
      </c>
      <c r="Q47" s="32">
        <v>426244272603</v>
      </c>
      <c r="R47" s="32">
        <v>618052840772</v>
      </c>
      <c r="S47" s="32">
        <v>2664739675418</v>
      </c>
      <c r="T47" s="33" t="s">
        <v>1160</v>
      </c>
      <c r="U47" s="32">
        <v>24384056811</v>
      </c>
      <c r="V47" s="32">
        <v>177534282888</v>
      </c>
      <c r="W47" s="32">
        <v>3431648454088</v>
      </c>
      <c r="X47" s="30" t="s">
        <v>1147</v>
      </c>
      <c r="Y47" s="30">
        <v>0</v>
      </c>
      <c r="Z47" s="30" t="s">
        <v>49</v>
      </c>
      <c r="AA47" s="32">
        <v>73354175265</v>
      </c>
      <c r="AB47" s="32">
        <v>3421556613075</v>
      </c>
      <c r="AC47" s="31">
        <v>2224998398592</v>
      </c>
      <c r="AD47" s="32">
        <v>4855891649068</v>
      </c>
      <c r="AE47" s="32">
        <v>172882585882</v>
      </c>
      <c r="AF47" s="32">
        <v>-9089373624</v>
      </c>
      <c r="AG47" s="31">
        <v>-41307040021</v>
      </c>
      <c r="AH47" s="32">
        <v>1112379542714</v>
      </c>
      <c r="AI47" s="32">
        <v>325734435796</v>
      </c>
      <c r="AJ47" s="32">
        <v>5537285855129</v>
      </c>
      <c r="AK47" s="47">
        <v>4530157213272</v>
      </c>
      <c r="AL47" s="33" t="s">
        <v>1161</v>
      </c>
      <c r="AM47" s="31">
        <v>1571797393210</v>
      </c>
      <c r="AN47" s="31">
        <v>-8198313674</v>
      </c>
      <c r="AO47" s="31">
        <v>254</v>
      </c>
      <c r="AP47" s="47">
        <v>3250</v>
      </c>
      <c r="AQ47" s="31">
        <v>655079812067</v>
      </c>
      <c r="AR47" s="30" t="s">
        <v>147</v>
      </c>
    </row>
    <row r="48" spans="1:47" ht="15.75" customHeight="1">
      <c r="A48" s="9" t="s">
        <v>1138</v>
      </c>
      <c r="B48" s="45" t="s">
        <v>1139</v>
      </c>
      <c r="C48" s="25" t="s">
        <v>1140</v>
      </c>
      <c r="D48" s="9" t="s">
        <v>180</v>
      </c>
      <c r="E48" s="13" t="s">
        <v>1141</v>
      </c>
      <c r="F48" s="33" t="s">
        <v>1143</v>
      </c>
      <c r="G48" s="33" t="s">
        <v>1143</v>
      </c>
      <c r="H48" s="33" t="s">
        <v>1162</v>
      </c>
      <c r="I48" s="33" t="s">
        <v>1163</v>
      </c>
      <c r="J48" s="36">
        <v>273172668</v>
      </c>
      <c r="K48" s="32">
        <v>7142101147514</v>
      </c>
      <c r="L48" s="32">
        <v>7136773393630</v>
      </c>
      <c r="M48" s="32">
        <v>9377380009091</v>
      </c>
      <c r="N48" s="32">
        <v>188796031578</v>
      </c>
      <c r="O48" s="32">
        <v>82361733191</v>
      </c>
      <c r="P48" s="31">
        <v>143325206757</v>
      </c>
      <c r="Q48" s="32">
        <v>452390206967</v>
      </c>
      <c r="R48" s="32">
        <v>558233766126</v>
      </c>
      <c r="S48" s="32">
        <v>2082838648146</v>
      </c>
      <c r="T48" s="33" t="s">
        <v>1164</v>
      </c>
      <c r="U48" s="32">
        <v>27675659456</v>
      </c>
      <c r="V48" s="32">
        <v>116056504002</v>
      </c>
      <c r="W48" s="32">
        <v>2850857855968</v>
      </c>
      <c r="X48" s="30" t="s">
        <v>1147</v>
      </c>
      <c r="Y48" s="30">
        <v>0</v>
      </c>
      <c r="Z48" s="30">
        <v>1</v>
      </c>
      <c r="AA48" s="32">
        <v>72676467900</v>
      </c>
      <c r="AB48" s="32">
        <v>3492233080975</v>
      </c>
      <c r="AC48" s="31">
        <v>2248211057640</v>
      </c>
      <c r="AD48" s="32">
        <v>5885146928116</v>
      </c>
      <c r="AE48" s="32">
        <v>-81588997158</v>
      </c>
      <c r="AF48" s="32">
        <v>-35749274250</v>
      </c>
      <c r="AG48" s="31">
        <v>-312638312293</v>
      </c>
      <c r="AH48" s="32">
        <v>1711692314347</v>
      </c>
      <c r="AI48" s="32">
        <v>1150868492526</v>
      </c>
      <c r="AJ48" s="32">
        <v>7223258907795</v>
      </c>
      <c r="AK48" s="47">
        <v>4734278435590</v>
      </c>
      <c r="AL48" s="33" t="s">
        <v>1165</v>
      </c>
      <c r="AM48" s="31">
        <v>1224667804249</v>
      </c>
      <c r="AN48" s="31">
        <v>-423874840</v>
      </c>
      <c r="AO48" s="31">
        <v>248</v>
      </c>
      <c r="AP48" s="47">
        <v>2950</v>
      </c>
      <c r="AQ48" s="31">
        <v>592312391546</v>
      </c>
      <c r="AR48" s="30" t="s">
        <v>179</v>
      </c>
    </row>
    <row r="49" spans="1:47" ht="15.75" customHeight="1">
      <c r="A49" s="16" t="s">
        <v>1166</v>
      </c>
      <c r="B49" s="17" t="s">
        <v>1167</v>
      </c>
      <c r="C49" s="25" t="s">
        <v>1168</v>
      </c>
      <c r="D49" s="16" t="s">
        <v>46</v>
      </c>
      <c r="E49" s="48" t="s">
        <v>1169</v>
      </c>
      <c r="F49" s="41" t="s">
        <v>849</v>
      </c>
      <c r="G49" s="41" t="s">
        <v>849</v>
      </c>
      <c r="H49" s="41" t="s">
        <v>1170</v>
      </c>
      <c r="I49" s="41" t="s">
        <v>1171</v>
      </c>
      <c r="J49" s="42">
        <v>192854765</v>
      </c>
      <c r="K49" s="42">
        <v>725301689998</v>
      </c>
      <c r="L49" s="42">
        <v>704801929382</v>
      </c>
      <c r="M49" s="42">
        <v>11905685986280</v>
      </c>
      <c r="N49" s="42">
        <v>36219610473</v>
      </c>
      <c r="O49" s="42">
        <v>122763439847</v>
      </c>
      <c r="P49" s="42">
        <v>3188072987598</v>
      </c>
      <c r="Q49" s="42">
        <v>320076131186</v>
      </c>
      <c r="R49" s="49">
        <v>969170670693</v>
      </c>
      <c r="S49" s="42">
        <v>431817947</v>
      </c>
      <c r="T49" s="41" t="s">
        <v>1172</v>
      </c>
      <c r="U49" s="42">
        <v>27268847840</v>
      </c>
      <c r="V49" s="42">
        <v>45196611409</v>
      </c>
      <c r="W49" s="42">
        <v>353719343412</v>
      </c>
      <c r="X49" s="41" t="s">
        <v>1147</v>
      </c>
      <c r="Y49" s="41">
        <v>0</v>
      </c>
      <c r="Z49" s="41" t="s">
        <v>43</v>
      </c>
      <c r="AA49" s="42">
        <v>505756523950</v>
      </c>
      <c r="AB49" s="42">
        <v>4444905523949</v>
      </c>
      <c r="AC49" s="42">
        <v>11063499303755</v>
      </c>
      <c r="AD49" s="42">
        <v>7460780462331</v>
      </c>
      <c r="AE49" s="42">
        <v>181352857113</v>
      </c>
      <c r="AF49" s="42">
        <v>-256425297618</v>
      </c>
      <c r="AG49" s="42">
        <v>-104189060656</v>
      </c>
      <c r="AH49" s="42">
        <v>170577216218</v>
      </c>
      <c r="AI49" s="42">
        <v>5806066666600</v>
      </c>
      <c r="AJ49" s="42">
        <v>1054482121079</v>
      </c>
      <c r="AK49" s="42">
        <v>1285106753456</v>
      </c>
      <c r="AL49" s="41" t="s">
        <v>1173</v>
      </c>
      <c r="AM49" s="42">
        <v>27268847840</v>
      </c>
      <c r="AN49" s="42">
        <v>-692725718000</v>
      </c>
      <c r="AO49" s="42">
        <v>1713</v>
      </c>
      <c r="AP49" s="41" t="s">
        <v>1174</v>
      </c>
      <c r="AQ49" s="42">
        <v>5477071940</v>
      </c>
      <c r="AR49" s="41">
        <v>42</v>
      </c>
      <c r="AS49" s="43"/>
      <c r="AT49" s="43"/>
      <c r="AU49" s="43"/>
    </row>
    <row r="50" spans="1:47" ht="15.75" customHeight="1">
      <c r="A50" s="16" t="s">
        <v>1166</v>
      </c>
      <c r="B50" s="17" t="s">
        <v>1167</v>
      </c>
      <c r="C50" s="25" t="s">
        <v>1168</v>
      </c>
      <c r="D50" s="16" t="s">
        <v>82</v>
      </c>
      <c r="E50" s="48" t="s">
        <v>1169</v>
      </c>
      <c r="F50" s="41" t="s">
        <v>849</v>
      </c>
      <c r="G50" s="41" t="s">
        <v>849</v>
      </c>
      <c r="H50" s="41" t="s">
        <v>1170</v>
      </c>
      <c r="I50" s="41" t="s">
        <v>1171</v>
      </c>
      <c r="J50" s="42">
        <v>192854765</v>
      </c>
      <c r="K50" s="42">
        <v>948895984301</v>
      </c>
      <c r="L50" s="42">
        <v>900236469754</v>
      </c>
      <c r="M50" s="42">
        <v>12178166708712</v>
      </c>
      <c r="N50" s="42">
        <v>69824424524</v>
      </c>
      <c r="O50" s="42">
        <v>101660096420</v>
      </c>
      <c r="P50" s="42">
        <v>7268479576545</v>
      </c>
      <c r="Q50" s="42">
        <v>455464900297</v>
      </c>
      <c r="R50" s="49">
        <v>839649026687</v>
      </c>
      <c r="S50" s="42">
        <v>192777874</v>
      </c>
      <c r="T50" s="41" t="s">
        <v>1175</v>
      </c>
      <c r="U50" s="42">
        <v>26034647618</v>
      </c>
      <c r="V50" s="42">
        <v>90208017945</v>
      </c>
      <c r="W50" s="42">
        <v>488382017421</v>
      </c>
      <c r="X50" s="41" t="s">
        <v>1147</v>
      </c>
      <c r="Y50" s="41">
        <v>0</v>
      </c>
      <c r="Z50" s="41">
        <v>0</v>
      </c>
      <c r="AA50" s="42">
        <v>307873734206</v>
      </c>
      <c r="AB50" s="42">
        <v>4688238199813</v>
      </c>
      <c r="AC50" s="42">
        <v>7712454906115</v>
      </c>
      <c r="AD50" s="42">
        <v>7489928508899</v>
      </c>
      <c r="AE50" s="42">
        <v>345495052893</v>
      </c>
      <c r="AF50" s="42">
        <v>-152140183650</v>
      </c>
      <c r="AG50" s="42">
        <v>-206540076201</v>
      </c>
      <c r="AH50" s="42">
        <v>182456553643</v>
      </c>
      <c r="AI50" s="42">
        <v>11604706542</v>
      </c>
      <c r="AJ50" s="42">
        <v>1187131675840</v>
      </c>
      <c r="AK50" s="42">
        <v>1396774183163</v>
      </c>
      <c r="AL50" s="41" t="s">
        <v>1176</v>
      </c>
      <c r="AM50" s="42">
        <v>26034647618</v>
      </c>
      <c r="AN50" s="42">
        <v>-34730000000</v>
      </c>
      <c r="AO50" s="42">
        <v>1066</v>
      </c>
      <c r="AP50" s="41" t="s">
        <v>1177</v>
      </c>
      <c r="AQ50" s="42">
        <v>11604706542</v>
      </c>
      <c r="AR50" s="41">
        <v>43</v>
      </c>
      <c r="AS50" s="43"/>
      <c r="AT50" s="43"/>
      <c r="AU50" s="43"/>
    </row>
    <row r="51" spans="1:47" ht="15.75" customHeight="1">
      <c r="A51" s="16" t="s">
        <v>1166</v>
      </c>
      <c r="B51" s="17" t="s">
        <v>1167</v>
      </c>
      <c r="C51" s="25" t="s">
        <v>1168</v>
      </c>
      <c r="D51" s="16" t="s">
        <v>115</v>
      </c>
      <c r="E51" s="48" t="s">
        <v>1169</v>
      </c>
      <c r="F51" s="41" t="s">
        <v>849</v>
      </c>
      <c r="G51" s="41" t="s">
        <v>849</v>
      </c>
      <c r="H51" s="41" t="s">
        <v>1170</v>
      </c>
      <c r="I51" s="41" t="s">
        <v>1171</v>
      </c>
      <c r="J51" s="42">
        <v>192854765</v>
      </c>
      <c r="K51" s="42">
        <v>1447394346192</v>
      </c>
      <c r="L51" s="42">
        <v>1340701557272</v>
      </c>
      <c r="M51" s="42">
        <v>12750083282364</v>
      </c>
      <c r="N51" s="42">
        <v>107658614261</v>
      </c>
      <c r="O51" s="42">
        <v>57840805877</v>
      </c>
      <c r="P51" s="42">
        <v>6804543523759</v>
      </c>
      <c r="Q51" s="49">
        <v>588416118449</v>
      </c>
      <c r="R51" s="49">
        <v>1198378571245</v>
      </c>
      <c r="S51" s="42">
        <v>388040793</v>
      </c>
      <c r="T51" s="41" t="s">
        <v>1178</v>
      </c>
      <c r="U51" s="42">
        <v>17298527842</v>
      </c>
      <c r="V51" s="42">
        <v>170603079514</v>
      </c>
      <c r="W51" s="42">
        <v>609985457715</v>
      </c>
      <c r="X51" s="41" t="s">
        <v>1147</v>
      </c>
      <c r="Y51" s="41">
        <v>1</v>
      </c>
      <c r="Z51" s="41">
        <v>1</v>
      </c>
      <c r="AA51" s="42">
        <v>462591201280</v>
      </c>
      <c r="AB51" s="42">
        <v>4843469811885</v>
      </c>
      <c r="AC51" s="42">
        <v>9214793526465</v>
      </c>
      <c r="AD51" s="42">
        <v>7906613470479</v>
      </c>
      <c r="AE51" s="42">
        <v>408194082764</v>
      </c>
      <c r="AF51" s="42">
        <v>-74720694967</v>
      </c>
      <c r="AG51" s="42">
        <v>-710009569239</v>
      </c>
      <c r="AH51" s="42">
        <v>97843229219</v>
      </c>
      <c r="AI51" s="42">
        <v>9574363377</v>
      </c>
      <c r="AJ51" s="42">
        <v>1244384275923</v>
      </c>
      <c r="AK51" s="42">
        <v>2222581550638</v>
      </c>
      <c r="AL51" s="41" t="s">
        <v>1054</v>
      </c>
      <c r="AM51" s="42">
        <v>17298527842</v>
      </c>
      <c r="AN51" s="42">
        <v>-92797469599</v>
      </c>
      <c r="AO51" s="42">
        <v>1489</v>
      </c>
      <c r="AP51" s="41" t="s">
        <v>1179</v>
      </c>
      <c r="AQ51" s="42">
        <v>9574363377</v>
      </c>
      <c r="AR51" s="41">
        <v>44</v>
      </c>
      <c r="AS51" s="43"/>
      <c r="AT51" s="43"/>
      <c r="AU51" s="43"/>
    </row>
    <row r="52" spans="1:47" ht="15.75" customHeight="1">
      <c r="A52" s="16" t="s">
        <v>1166</v>
      </c>
      <c r="B52" s="17" t="s">
        <v>1167</v>
      </c>
      <c r="C52" s="25" t="s">
        <v>1168</v>
      </c>
      <c r="D52" s="16" t="s">
        <v>148</v>
      </c>
      <c r="E52" s="48" t="s">
        <v>1169</v>
      </c>
      <c r="F52" s="41" t="s">
        <v>849</v>
      </c>
      <c r="G52" s="41" t="s">
        <v>849</v>
      </c>
      <c r="H52" s="41" t="s">
        <v>1170</v>
      </c>
      <c r="I52" s="41" t="s">
        <v>1171</v>
      </c>
      <c r="J52" s="42">
        <v>192854765</v>
      </c>
      <c r="K52" s="42">
        <v>1702630820294</v>
      </c>
      <c r="L52" s="42">
        <v>1597024196656</v>
      </c>
      <c r="M52" s="42">
        <v>22913703339215</v>
      </c>
      <c r="N52" s="42">
        <v>114902865864</v>
      </c>
      <c r="O52" s="42">
        <v>131139415722</v>
      </c>
      <c r="P52" s="42">
        <v>16374644674873</v>
      </c>
      <c r="Q52" s="49">
        <v>725980633534</v>
      </c>
      <c r="R52" s="49">
        <v>1714505420548</v>
      </c>
      <c r="S52" s="50">
        <v>998741364</v>
      </c>
      <c r="T52" s="41" t="s">
        <v>1180</v>
      </c>
      <c r="U52" s="42">
        <v>6149680853</v>
      </c>
      <c r="V52" s="42">
        <v>269475811951</v>
      </c>
      <c r="W52" s="42">
        <v>760405364849</v>
      </c>
      <c r="X52" s="41" t="s">
        <v>1147</v>
      </c>
      <c r="Y52" s="41">
        <v>0</v>
      </c>
      <c r="Z52" s="41">
        <v>0</v>
      </c>
      <c r="AA52" s="42">
        <v>927228912533</v>
      </c>
      <c r="AB52" s="42">
        <v>5183858022776</v>
      </c>
      <c r="AC52" s="42">
        <v>8858783630275</v>
      </c>
      <c r="AD52" s="42">
        <v>17729845316439</v>
      </c>
      <c r="AE52" s="42">
        <v>143756260597</v>
      </c>
      <c r="AF52" s="42">
        <v>-309421812517</v>
      </c>
      <c r="AG52" s="42">
        <v>-146875588084</v>
      </c>
      <c r="AH52" s="42">
        <v>705492714069</v>
      </c>
      <c r="AI52" s="42">
        <v>11948696630</v>
      </c>
      <c r="AJ52" s="42">
        <v>1727961289823</v>
      </c>
      <c r="AK52" s="42">
        <v>3101256166008</v>
      </c>
      <c r="AL52" s="41" t="s">
        <v>1130</v>
      </c>
      <c r="AM52" s="42">
        <v>6149680853</v>
      </c>
      <c r="AN52" s="42">
        <v>-372422668230</v>
      </c>
      <c r="AO52" s="42">
        <v>3550</v>
      </c>
      <c r="AP52" s="41">
        <v>270</v>
      </c>
      <c r="AQ52" s="42">
        <v>11948696630</v>
      </c>
      <c r="AR52" s="41">
        <v>45</v>
      </c>
      <c r="AS52" s="43"/>
      <c r="AT52" s="43"/>
      <c r="AU52" s="43"/>
    </row>
    <row r="53" spans="1:47" ht="15.75" customHeight="1">
      <c r="A53" s="16" t="s">
        <v>1166</v>
      </c>
      <c r="B53" s="17" t="s">
        <v>1167</v>
      </c>
      <c r="C53" s="25" t="s">
        <v>1168</v>
      </c>
      <c r="D53" s="16" t="s">
        <v>180</v>
      </c>
      <c r="E53" s="48" t="s">
        <v>1169</v>
      </c>
      <c r="F53" s="41" t="s">
        <v>849</v>
      </c>
      <c r="G53" s="41" t="s">
        <v>849</v>
      </c>
      <c r="H53" s="41" t="s">
        <v>1181</v>
      </c>
      <c r="I53" s="41" t="s">
        <v>1171</v>
      </c>
      <c r="J53" s="42">
        <v>192854765</v>
      </c>
      <c r="K53" s="42">
        <v>2606007502075</v>
      </c>
      <c r="L53" s="42">
        <v>2503558386331</v>
      </c>
      <c r="M53" s="42">
        <v>23463511747161</v>
      </c>
      <c r="N53" s="42">
        <v>124409382279</v>
      </c>
      <c r="O53" s="42">
        <v>176214650074</v>
      </c>
      <c r="P53" s="42">
        <v>15851673193661</v>
      </c>
      <c r="Q53" s="49">
        <v>1032226851603</v>
      </c>
      <c r="R53" s="49">
        <v>2529921711604</v>
      </c>
      <c r="S53" s="42">
        <v>1197042328</v>
      </c>
      <c r="T53" s="41" t="s">
        <v>1182</v>
      </c>
      <c r="U53" s="42">
        <v>9498552800</v>
      </c>
      <c r="V53" s="42">
        <v>316166274821</v>
      </c>
      <c r="W53" s="42">
        <v>1104127869812</v>
      </c>
      <c r="X53" s="41" t="s">
        <v>1147</v>
      </c>
      <c r="Y53" s="41">
        <v>0</v>
      </c>
      <c r="Z53" s="41">
        <v>0</v>
      </c>
      <c r="AA53" s="42">
        <v>791644172033</v>
      </c>
      <c r="AB53" s="42">
        <v>5684835709426</v>
      </c>
      <c r="AC53" s="42">
        <v>11937709953500</v>
      </c>
      <c r="AD53" s="42">
        <v>17778676037735</v>
      </c>
      <c r="AE53" s="42">
        <v>587973905519</v>
      </c>
      <c r="AF53" s="42">
        <v>-174028093113</v>
      </c>
      <c r="AG53" s="42">
        <v>-737612259474</v>
      </c>
      <c r="AH53" s="42">
        <v>305454143139</v>
      </c>
      <c r="AI53" s="42">
        <v>12266897275</v>
      </c>
      <c r="AJ53" s="42">
        <v>1942794069640</v>
      </c>
      <c r="AK53" s="42">
        <v>1761657191893</v>
      </c>
      <c r="AL53" s="41" t="s">
        <v>1183</v>
      </c>
      <c r="AM53" s="42">
        <v>9498552800</v>
      </c>
      <c r="AN53" s="42">
        <v>-574186534044</v>
      </c>
      <c r="AO53" s="42">
        <v>2718</v>
      </c>
      <c r="AP53" s="41">
        <v>283</v>
      </c>
      <c r="AQ53" s="42">
        <v>12266897275</v>
      </c>
      <c r="AR53" s="41">
        <v>46</v>
      </c>
      <c r="AS53" s="43"/>
      <c r="AT53" s="43"/>
      <c r="AU53" s="43"/>
    </row>
    <row r="54" spans="1:47" ht="15.75" customHeight="1">
      <c r="A54" s="9" t="s">
        <v>1184</v>
      </c>
      <c r="B54" s="45" t="s">
        <v>1185</v>
      </c>
      <c r="C54" s="51" t="s">
        <v>1186</v>
      </c>
      <c r="D54" s="9" t="s">
        <v>46</v>
      </c>
      <c r="E54" s="13" t="s">
        <v>1187</v>
      </c>
      <c r="F54" s="52" t="s">
        <v>1130</v>
      </c>
      <c r="G54" s="52" t="s">
        <v>849</v>
      </c>
      <c r="H54" s="52" t="s">
        <v>1188</v>
      </c>
      <c r="I54" s="52" t="s">
        <v>1189</v>
      </c>
      <c r="J54" s="52" t="s">
        <v>1190</v>
      </c>
      <c r="K54" s="52" t="s">
        <v>1191</v>
      </c>
      <c r="L54" s="52" t="s">
        <v>1191</v>
      </c>
      <c r="M54" s="52" t="s">
        <v>1192</v>
      </c>
      <c r="N54" s="52" t="s">
        <v>1193</v>
      </c>
      <c r="O54" s="52" t="s">
        <v>1194</v>
      </c>
      <c r="P54" s="52" t="s">
        <v>1195</v>
      </c>
      <c r="Q54" s="52" t="s">
        <v>1196</v>
      </c>
      <c r="R54" s="52" t="s">
        <v>1197</v>
      </c>
      <c r="S54" s="52" t="s">
        <v>1198</v>
      </c>
      <c r="T54" s="52" t="s">
        <v>1199</v>
      </c>
      <c r="U54" s="52" t="s">
        <v>1200</v>
      </c>
      <c r="V54" s="52" t="s">
        <v>1201</v>
      </c>
      <c r="W54" s="52" t="s">
        <v>1202</v>
      </c>
      <c r="X54" s="52" t="s">
        <v>1203</v>
      </c>
      <c r="Y54" s="52" t="s">
        <v>49</v>
      </c>
      <c r="Z54" s="52" t="s">
        <v>49</v>
      </c>
      <c r="AA54" s="52" t="s">
        <v>1204</v>
      </c>
      <c r="AB54" s="52" t="s">
        <v>1205</v>
      </c>
      <c r="AC54" s="52" t="s">
        <v>1206</v>
      </c>
      <c r="AD54" s="52" t="s">
        <v>1207</v>
      </c>
      <c r="AE54" s="52" t="s">
        <v>1208</v>
      </c>
      <c r="AF54" s="52" t="s">
        <v>1209</v>
      </c>
      <c r="AG54" s="52" t="s">
        <v>1210</v>
      </c>
      <c r="AH54" s="52" t="s">
        <v>1211</v>
      </c>
      <c r="AI54" s="52" t="s">
        <v>1212</v>
      </c>
      <c r="AJ54" s="52" t="s">
        <v>1213</v>
      </c>
      <c r="AK54" s="52" t="s">
        <v>1214</v>
      </c>
      <c r="AL54" s="52" t="s">
        <v>1215</v>
      </c>
      <c r="AM54" s="52" t="s">
        <v>1216</v>
      </c>
      <c r="AN54" s="52" t="s">
        <v>1217</v>
      </c>
      <c r="AO54" s="52" t="s">
        <v>1218</v>
      </c>
      <c r="AP54" s="52" t="s">
        <v>1219</v>
      </c>
      <c r="AQ54" s="52" t="s">
        <v>1220</v>
      </c>
      <c r="AR54" s="52" t="s">
        <v>376</v>
      </c>
      <c r="AS54" s="85"/>
    </row>
    <row r="55" spans="1:47" ht="15.75" customHeight="1">
      <c r="A55" s="9" t="s">
        <v>1184</v>
      </c>
      <c r="B55" s="45" t="s">
        <v>1185</v>
      </c>
      <c r="C55" s="51" t="s">
        <v>1186</v>
      </c>
      <c r="D55" s="9" t="s">
        <v>82</v>
      </c>
      <c r="E55" s="13" t="s">
        <v>1187</v>
      </c>
      <c r="F55" s="52" t="s">
        <v>1135</v>
      </c>
      <c r="G55" s="52" t="s">
        <v>849</v>
      </c>
      <c r="H55" s="52" t="s">
        <v>1221</v>
      </c>
      <c r="I55" s="52" t="s">
        <v>1189</v>
      </c>
      <c r="J55" s="52" t="s">
        <v>1222</v>
      </c>
      <c r="K55" s="52" t="s">
        <v>1223</v>
      </c>
      <c r="L55" s="52" t="s">
        <v>1223</v>
      </c>
      <c r="M55" s="52" t="s">
        <v>1224</v>
      </c>
      <c r="N55" s="52" t="s">
        <v>1225</v>
      </c>
      <c r="O55" s="52" t="s">
        <v>1226</v>
      </c>
      <c r="P55" s="52" t="s">
        <v>1227</v>
      </c>
      <c r="Q55" s="52" t="s">
        <v>1228</v>
      </c>
      <c r="R55" s="52" t="s">
        <v>1229</v>
      </c>
      <c r="S55" s="52" t="s">
        <v>1230</v>
      </c>
      <c r="T55" s="52" t="s">
        <v>1231</v>
      </c>
      <c r="U55" s="52" t="s">
        <v>1232</v>
      </c>
      <c r="V55" s="52" t="s">
        <v>1233</v>
      </c>
      <c r="W55" s="52" t="s">
        <v>1234</v>
      </c>
      <c r="X55" s="52" t="s">
        <v>1203</v>
      </c>
      <c r="Y55" s="52" t="s">
        <v>49</v>
      </c>
      <c r="Z55" s="52" t="s">
        <v>49</v>
      </c>
      <c r="AA55" s="52" t="s">
        <v>1235</v>
      </c>
      <c r="AB55" s="52" t="s">
        <v>1236</v>
      </c>
      <c r="AC55" s="52" t="s">
        <v>1237</v>
      </c>
      <c r="AD55" s="52" t="s">
        <v>1238</v>
      </c>
      <c r="AE55" s="52" t="s">
        <v>1239</v>
      </c>
      <c r="AF55" s="52" t="s">
        <v>1240</v>
      </c>
      <c r="AG55" s="52" t="s">
        <v>1241</v>
      </c>
      <c r="AH55" s="52" t="s">
        <v>1242</v>
      </c>
      <c r="AI55" s="52" t="s">
        <v>1243</v>
      </c>
      <c r="AJ55" s="52" t="s">
        <v>1244</v>
      </c>
      <c r="AK55" s="52" t="s">
        <v>1245</v>
      </c>
      <c r="AL55" s="52" t="s">
        <v>1246</v>
      </c>
      <c r="AM55" s="52" t="s">
        <v>1247</v>
      </c>
      <c r="AN55" s="52" t="s">
        <v>1248</v>
      </c>
      <c r="AO55" s="52" t="s">
        <v>1249</v>
      </c>
      <c r="AP55" s="52" t="s">
        <v>1250</v>
      </c>
      <c r="AQ55" s="52" t="s">
        <v>1251</v>
      </c>
      <c r="AR55" s="52" t="s">
        <v>411</v>
      </c>
      <c r="AS55" s="86"/>
    </row>
    <row r="56" spans="1:47" ht="15.75" customHeight="1">
      <c r="A56" s="9" t="s">
        <v>1184</v>
      </c>
      <c r="B56" s="45" t="s">
        <v>1185</v>
      </c>
      <c r="C56" s="51" t="s">
        <v>1186</v>
      </c>
      <c r="D56" s="9" t="s">
        <v>115</v>
      </c>
      <c r="E56" s="13" t="s">
        <v>1187</v>
      </c>
      <c r="F56" s="52" t="s">
        <v>1252</v>
      </c>
      <c r="G56" s="52" t="s">
        <v>849</v>
      </c>
      <c r="H56" s="52" t="s">
        <v>1221</v>
      </c>
      <c r="I56" s="52" t="s">
        <v>1189</v>
      </c>
      <c r="J56" s="52" t="s">
        <v>1253</v>
      </c>
      <c r="K56" s="52" t="s">
        <v>1254</v>
      </c>
      <c r="L56" s="52" t="s">
        <v>1254</v>
      </c>
      <c r="M56" s="52" t="s">
        <v>1255</v>
      </c>
      <c r="N56" s="52" t="s">
        <v>1256</v>
      </c>
      <c r="O56" s="52" t="s">
        <v>1257</v>
      </c>
      <c r="P56" s="52" t="s">
        <v>1258</v>
      </c>
      <c r="Q56" s="52" t="s">
        <v>1259</v>
      </c>
      <c r="R56" s="52" t="s">
        <v>1260</v>
      </c>
      <c r="S56" s="52" t="s">
        <v>1261</v>
      </c>
      <c r="T56" s="52" t="s">
        <v>1262</v>
      </c>
      <c r="U56" s="52" t="s">
        <v>1263</v>
      </c>
      <c r="V56" s="52" t="s">
        <v>1264</v>
      </c>
      <c r="W56" s="52" t="s">
        <v>1265</v>
      </c>
      <c r="X56" s="52" t="s">
        <v>1203</v>
      </c>
      <c r="Y56" s="52" t="s">
        <v>49</v>
      </c>
      <c r="Z56" s="52" t="s">
        <v>49</v>
      </c>
      <c r="AA56" s="52" t="s">
        <v>1266</v>
      </c>
      <c r="AB56" s="52" t="s">
        <v>1267</v>
      </c>
      <c r="AC56" s="52" t="s">
        <v>1268</v>
      </c>
      <c r="AD56" s="52" t="s">
        <v>1269</v>
      </c>
      <c r="AE56" s="52" t="s">
        <v>1270</v>
      </c>
      <c r="AF56" s="52" t="s">
        <v>1271</v>
      </c>
      <c r="AG56" s="52" t="s">
        <v>1272</v>
      </c>
      <c r="AH56" s="52" t="s">
        <v>1273</v>
      </c>
      <c r="AI56" s="52" t="s">
        <v>1274</v>
      </c>
      <c r="AJ56" s="52" t="s">
        <v>1275</v>
      </c>
      <c r="AK56" s="52" t="s">
        <v>1276</v>
      </c>
      <c r="AL56" s="52" t="s">
        <v>1127</v>
      </c>
      <c r="AM56" s="52" t="s">
        <v>1277</v>
      </c>
      <c r="AN56" s="52" t="s">
        <v>1278</v>
      </c>
      <c r="AO56" s="52" t="s">
        <v>1279</v>
      </c>
      <c r="AP56" s="52" t="s">
        <v>1280</v>
      </c>
      <c r="AQ56" s="52" t="s">
        <v>1281</v>
      </c>
      <c r="AR56" s="52" t="s">
        <v>81</v>
      </c>
      <c r="AS56" s="86"/>
    </row>
    <row r="57" spans="1:47" ht="15.75" customHeight="1">
      <c r="A57" s="9" t="s">
        <v>1184</v>
      </c>
      <c r="B57" s="45" t="s">
        <v>1185</v>
      </c>
      <c r="C57" s="51" t="s">
        <v>1186</v>
      </c>
      <c r="D57" s="9" t="s">
        <v>148</v>
      </c>
      <c r="E57" s="13" t="s">
        <v>1187</v>
      </c>
      <c r="F57" s="52" t="s">
        <v>1252</v>
      </c>
      <c r="G57" s="52" t="s">
        <v>849</v>
      </c>
      <c r="H57" s="52" t="s">
        <v>1282</v>
      </c>
      <c r="I57" s="52" t="s">
        <v>1189</v>
      </c>
      <c r="J57" s="52" t="s">
        <v>1283</v>
      </c>
      <c r="K57" s="52" t="s">
        <v>1284</v>
      </c>
      <c r="L57" s="52" t="s">
        <v>1284</v>
      </c>
      <c r="M57" s="52" t="s">
        <v>1285</v>
      </c>
      <c r="N57" s="52" t="s">
        <v>1286</v>
      </c>
      <c r="O57" s="52" t="s">
        <v>1287</v>
      </c>
      <c r="P57" s="52" t="s">
        <v>1288</v>
      </c>
      <c r="Q57" s="52" t="s">
        <v>1289</v>
      </c>
      <c r="R57" s="52" t="s">
        <v>1290</v>
      </c>
      <c r="S57" s="52" t="s">
        <v>1291</v>
      </c>
      <c r="T57" s="52" t="s">
        <v>1292</v>
      </c>
      <c r="U57" s="52" t="s">
        <v>1293</v>
      </c>
      <c r="V57" s="52" t="s">
        <v>1294</v>
      </c>
      <c r="W57" s="52" t="s">
        <v>1295</v>
      </c>
      <c r="X57" s="52" t="s">
        <v>1203</v>
      </c>
      <c r="Y57" s="52" t="s">
        <v>43</v>
      </c>
      <c r="Z57" s="52" t="s">
        <v>43</v>
      </c>
      <c r="AA57" s="52" t="s">
        <v>1296</v>
      </c>
      <c r="AB57" s="52" t="s">
        <v>1297</v>
      </c>
      <c r="AC57" s="52" t="s">
        <v>1298</v>
      </c>
      <c r="AD57" s="52" t="s">
        <v>1299</v>
      </c>
      <c r="AE57" s="52" t="s">
        <v>1300</v>
      </c>
      <c r="AF57" s="52" t="s">
        <v>1301</v>
      </c>
      <c r="AG57" s="52" t="s">
        <v>1302</v>
      </c>
      <c r="AH57" s="52" t="s">
        <v>1303</v>
      </c>
      <c r="AI57" s="52" t="s">
        <v>1304</v>
      </c>
      <c r="AJ57" s="52" t="s">
        <v>1305</v>
      </c>
      <c r="AK57" s="52" t="s">
        <v>1306</v>
      </c>
      <c r="AL57" s="52" t="s">
        <v>1189</v>
      </c>
      <c r="AM57" s="52" t="s">
        <v>1307</v>
      </c>
      <c r="AN57" s="52" t="s">
        <v>1308</v>
      </c>
      <c r="AO57" s="52" t="s">
        <v>1309</v>
      </c>
      <c r="AP57" s="52" t="s">
        <v>1310</v>
      </c>
      <c r="AQ57" s="52" t="s">
        <v>1311</v>
      </c>
      <c r="AR57" s="52" t="s">
        <v>114</v>
      </c>
      <c r="AS57" s="86"/>
    </row>
    <row r="58" spans="1:47" ht="15.75" customHeight="1">
      <c r="A58" s="9" t="s">
        <v>1184</v>
      </c>
      <c r="B58" s="45" t="s">
        <v>1185</v>
      </c>
      <c r="C58" s="51" t="s">
        <v>1186</v>
      </c>
      <c r="D58" s="9" t="s">
        <v>180</v>
      </c>
      <c r="E58" s="13" t="s">
        <v>1187</v>
      </c>
      <c r="F58" s="52" t="s">
        <v>1135</v>
      </c>
      <c r="G58" s="52" t="s">
        <v>849</v>
      </c>
      <c r="H58" s="52" t="s">
        <v>1312</v>
      </c>
      <c r="I58" s="53" t="s">
        <v>1203</v>
      </c>
      <c r="J58" s="52" t="s">
        <v>1313</v>
      </c>
      <c r="K58" s="52" t="s">
        <v>1314</v>
      </c>
      <c r="L58" s="52" t="s">
        <v>1314</v>
      </c>
      <c r="M58" s="52" t="s">
        <v>1315</v>
      </c>
      <c r="N58" s="52" t="s">
        <v>1316</v>
      </c>
      <c r="O58" s="52" t="s">
        <v>1317</v>
      </c>
      <c r="P58" s="52" t="s">
        <v>1318</v>
      </c>
      <c r="Q58" s="52" t="s">
        <v>1319</v>
      </c>
      <c r="R58" s="52" t="s">
        <v>1320</v>
      </c>
      <c r="S58" s="52" t="s">
        <v>1321</v>
      </c>
      <c r="T58" s="52" t="s">
        <v>1322</v>
      </c>
      <c r="U58" s="52" t="s">
        <v>1323</v>
      </c>
      <c r="V58" s="52" t="s">
        <v>1324</v>
      </c>
      <c r="W58" s="52" t="s">
        <v>1325</v>
      </c>
      <c r="X58" s="52" t="s">
        <v>1203</v>
      </c>
      <c r="Y58" s="52" t="s">
        <v>43</v>
      </c>
      <c r="Z58" s="52" t="s">
        <v>43</v>
      </c>
      <c r="AA58" s="52" t="s">
        <v>1326</v>
      </c>
      <c r="AB58" s="52" t="s">
        <v>1327</v>
      </c>
      <c r="AC58" s="52" t="s">
        <v>1328</v>
      </c>
      <c r="AD58" s="52" t="s">
        <v>1329</v>
      </c>
      <c r="AE58" s="52" t="s">
        <v>1330</v>
      </c>
      <c r="AF58" s="52" t="s">
        <v>1331</v>
      </c>
      <c r="AG58" s="52" t="s">
        <v>1332</v>
      </c>
      <c r="AH58" s="52" t="s">
        <v>1333</v>
      </c>
      <c r="AI58" s="52" t="s">
        <v>1334</v>
      </c>
      <c r="AJ58" s="52" t="s">
        <v>1335</v>
      </c>
      <c r="AK58" s="52" t="s">
        <v>1336</v>
      </c>
      <c r="AL58" s="52" t="s">
        <v>1337</v>
      </c>
      <c r="AM58" s="52" t="s">
        <v>1338</v>
      </c>
      <c r="AN58" s="52" t="s">
        <v>1339</v>
      </c>
      <c r="AO58" s="52" t="s">
        <v>1340</v>
      </c>
      <c r="AP58" s="52" t="s">
        <v>1341</v>
      </c>
      <c r="AQ58" s="52" t="s">
        <v>1342</v>
      </c>
      <c r="AR58" s="52" t="s">
        <v>147</v>
      </c>
      <c r="AS58" s="86"/>
    </row>
    <row r="59" spans="1:47" ht="15.75" customHeight="1">
      <c r="A59" s="16" t="s">
        <v>251</v>
      </c>
      <c r="B59" s="17" t="s">
        <v>1343</v>
      </c>
      <c r="C59" s="51" t="s">
        <v>1344</v>
      </c>
      <c r="D59" s="16" t="s">
        <v>46</v>
      </c>
      <c r="E59" s="40" t="s">
        <v>1187</v>
      </c>
      <c r="F59" s="54" t="s">
        <v>1345</v>
      </c>
      <c r="G59" s="54" t="s">
        <v>49</v>
      </c>
      <c r="H59" s="54" t="s">
        <v>1346</v>
      </c>
      <c r="I59" s="54" t="s">
        <v>590</v>
      </c>
      <c r="J59" s="54" t="s">
        <v>1347</v>
      </c>
      <c r="K59" s="54" t="s">
        <v>1348</v>
      </c>
      <c r="L59" s="54" t="s">
        <v>1348</v>
      </c>
      <c r="M59" s="54" t="s">
        <v>1349</v>
      </c>
      <c r="N59" s="54" t="s">
        <v>1350</v>
      </c>
      <c r="O59" s="54" t="s">
        <v>1351</v>
      </c>
      <c r="P59" s="54" t="s">
        <v>49</v>
      </c>
      <c r="Q59" s="54" t="s">
        <v>1352</v>
      </c>
      <c r="R59" s="54" t="s">
        <v>1353</v>
      </c>
      <c r="S59" s="54" t="s">
        <v>1354</v>
      </c>
      <c r="T59" s="54" t="s">
        <v>1355</v>
      </c>
      <c r="U59" s="54" t="s">
        <v>1356</v>
      </c>
      <c r="V59" s="54" t="s">
        <v>1357</v>
      </c>
      <c r="W59" s="54" t="s">
        <v>1358</v>
      </c>
      <c r="X59" s="54" t="s">
        <v>49</v>
      </c>
      <c r="Y59" s="54" t="s">
        <v>49</v>
      </c>
      <c r="Z59" s="54" t="s">
        <v>49</v>
      </c>
      <c r="AA59" s="54" t="s">
        <v>1359</v>
      </c>
      <c r="AB59" s="54" t="s">
        <v>1360</v>
      </c>
      <c r="AC59" s="54" t="s">
        <v>1361</v>
      </c>
      <c r="AD59" s="54" t="s">
        <v>1362</v>
      </c>
      <c r="AE59" s="54" t="s">
        <v>1363</v>
      </c>
      <c r="AF59" s="54" t="s">
        <v>1364</v>
      </c>
      <c r="AG59" s="54" t="s">
        <v>1365</v>
      </c>
      <c r="AH59" s="54" t="s">
        <v>1366</v>
      </c>
      <c r="AI59" s="54" t="s">
        <v>1367</v>
      </c>
      <c r="AJ59" s="54" t="s">
        <v>1368</v>
      </c>
      <c r="AK59" s="54" t="s">
        <v>1369</v>
      </c>
      <c r="AL59" s="54" t="s">
        <v>1370</v>
      </c>
      <c r="AM59" s="54" t="s">
        <v>1371</v>
      </c>
      <c r="AN59" s="54" t="s">
        <v>1372</v>
      </c>
      <c r="AO59" s="54" t="s">
        <v>1373</v>
      </c>
      <c r="AP59" s="54" t="s">
        <v>1374</v>
      </c>
      <c r="AQ59" s="54" t="s">
        <v>1375</v>
      </c>
      <c r="AR59" s="54" t="s">
        <v>1376</v>
      </c>
      <c r="AS59" s="86"/>
    </row>
    <row r="60" spans="1:47" ht="15.75" customHeight="1">
      <c r="A60" s="16" t="s">
        <v>251</v>
      </c>
      <c r="B60" s="17" t="s">
        <v>1343</v>
      </c>
      <c r="C60" s="51" t="s">
        <v>1344</v>
      </c>
      <c r="D60" s="16" t="s">
        <v>82</v>
      </c>
      <c r="E60" s="40" t="s">
        <v>1187</v>
      </c>
      <c r="F60" s="54" t="s">
        <v>1377</v>
      </c>
      <c r="G60" s="54" t="s">
        <v>49</v>
      </c>
      <c r="H60" s="54" t="s">
        <v>1346</v>
      </c>
      <c r="I60" s="54" t="s">
        <v>1378</v>
      </c>
      <c r="J60" s="54" t="s">
        <v>1379</v>
      </c>
      <c r="K60" s="54" t="s">
        <v>1380</v>
      </c>
      <c r="L60" s="54" t="s">
        <v>1380</v>
      </c>
      <c r="M60" s="54" t="s">
        <v>1381</v>
      </c>
      <c r="N60" s="54" t="s">
        <v>1382</v>
      </c>
      <c r="O60" s="54" t="s">
        <v>1383</v>
      </c>
      <c r="P60" s="54" t="s">
        <v>1384</v>
      </c>
      <c r="Q60" s="54" t="s">
        <v>1385</v>
      </c>
      <c r="R60" s="54" t="s">
        <v>1386</v>
      </c>
      <c r="S60" s="54" t="s">
        <v>1387</v>
      </c>
      <c r="T60" s="54" t="s">
        <v>1388</v>
      </c>
      <c r="U60" s="54" t="s">
        <v>1389</v>
      </c>
      <c r="V60" s="54" t="s">
        <v>1390</v>
      </c>
      <c r="W60" s="54" t="s">
        <v>1391</v>
      </c>
      <c r="X60" s="54" t="s">
        <v>49</v>
      </c>
      <c r="Y60" s="54" t="s">
        <v>49</v>
      </c>
      <c r="Z60" s="54" t="s">
        <v>49</v>
      </c>
      <c r="AA60" s="54" t="s">
        <v>1392</v>
      </c>
      <c r="AB60" s="54" t="s">
        <v>1393</v>
      </c>
      <c r="AC60" s="54" t="s">
        <v>1394</v>
      </c>
      <c r="AD60" s="54" t="s">
        <v>1395</v>
      </c>
      <c r="AE60" s="54" t="s">
        <v>1396</v>
      </c>
      <c r="AF60" s="54" t="s">
        <v>1397</v>
      </c>
      <c r="AG60" s="54" t="s">
        <v>1398</v>
      </c>
      <c r="AH60" s="54" t="s">
        <v>1399</v>
      </c>
      <c r="AI60" s="54" t="s">
        <v>1400</v>
      </c>
      <c r="AJ60" s="54" t="s">
        <v>1401</v>
      </c>
      <c r="AK60" s="54" t="s">
        <v>1402</v>
      </c>
      <c r="AL60" s="54" t="s">
        <v>1403</v>
      </c>
      <c r="AM60" s="54" t="s">
        <v>1404</v>
      </c>
      <c r="AN60" s="54" t="s">
        <v>1405</v>
      </c>
      <c r="AO60" s="54" t="s">
        <v>1406</v>
      </c>
      <c r="AP60" s="54" t="s">
        <v>1407</v>
      </c>
      <c r="AQ60" s="54" t="s">
        <v>1408</v>
      </c>
      <c r="AR60" s="54" t="s">
        <v>1409</v>
      </c>
      <c r="AS60" s="86"/>
    </row>
    <row r="61" spans="1:47" ht="15.75" customHeight="1">
      <c r="A61" s="16" t="s">
        <v>251</v>
      </c>
      <c r="B61" s="17" t="s">
        <v>1343</v>
      </c>
      <c r="C61" s="51" t="s">
        <v>1344</v>
      </c>
      <c r="D61" s="16" t="s">
        <v>115</v>
      </c>
      <c r="E61" s="40" t="s">
        <v>1187</v>
      </c>
      <c r="F61" s="54" t="s">
        <v>1410</v>
      </c>
      <c r="G61" s="54" t="s">
        <v>49</v>
      </c>
      <c r="H61" s="54" t="s">
        <v>1346</v>
      </c>
      <c r="I61" s="54" t="s">
        <v>1411</v>
      </c>
      <c r="J61" s="54" t="s">
        <v>1379</v>
      </c>
      <c r="K61" s="54" t="s">
        <v>1412</v>
      </c>
      <c r="L61" s="54" t="s">
        <v>1413</v>
      </c>
      <c r="M61" s="54" t="s">
        <v>1414</v>
      </c>
      <c r="N61" s="54" t="s">
        <v>1415</v>
      </c>
      <c r="O61" s="54" t="s">
        <v>1416</v>
      </c>
      <c r="P61" s="54" t="s">
        <v>1417</v>
      </c>
      <c r="Q61" s="54" t="s">
        <v>1418</v>
      </c>
      <c r="R61" s="54" t="s">
        <v>1419</v>
      </c>
      <c r="S61" s="54" t="s">
        <v>1420</v>
      </c>
      <c r="T61" s="54" t="s">
        <v>1421</v>
      </c>
      <c r="U61" s="54" t="s">
        <v>1422</v>
      </c>
      <c r="V61" s="54" t="s">
        <v>1423</v>
      </c>
      <c r="W61" s="54" t="s">
        <v>1424</v>
      </c>
      <c r="X61" s="54" t="s">
        <v>49</v>
      </c>
      <c r="Y61" s="54" t="s">
        <v>49</v>
      </c>
      <c r="Z61" s="54" t="s">
        <v>49</v>
      </c>
      <c r="AA61" s="54" t="s">
        <v>1425</v>
      </c>
      <c r="AB61" s="54" t="s">
        <v>1426</v>
      </c>
      <c r="AC61" s="54" t="s">
        <v>1427</v>
      </c>
      <c r="AD61" s="54" t="s">
        <v>1428</v>
      </c>
      <c r="AE61" s="54" t="s">
        <v>1429</v>
      </c>
      <c r="AF61" s="54" t="s">
        <v>1430</v>
      </c>
      <c r="AG61" s="54" t="s">
        <v>1431</v>
      </c>
      <c r="AH61" s="54" t="s">
        <v>1432</v>
      </c>
      <c r="AI61" s="54" t="s">
        <v>1433</v>
      </c>
      <c r="AJ61" s="54" t="s">
        <v>1434</v>
      </c>
      <c r="AK61" s="54" t="s">
        <v>1435</v>
      </c>
      <c r="AL61" s="54" t="s">
        <v>1436</v>
      </c>
      <c r="AM61" s="54" t="s">
        <v>1437</v>
      </c>
      <c r="AN61" s="54" t="s">
        <v>1438</v>
      </c>
      <c r="AO61" s="54" t="s">
        <v>1439</v>
      </c>
      <c r="AP61" s="54" t="s">
        <v>1440</v>
      </c>
      <c r="AQ61" s="54" t="s">
        <v>1441</v>
      </c>
      <c r="AR61" s="54" t="s">
        <v>1442</v>
      </c>
      <c r="AS61" s="86"/>
    </row>
    <row r="62" spans="1:47" ht="15.75" customHeight="1">
      <c r="A62" s="16" t="s">
        <v>251</v>
      </c>
      <c r="B62" s="17" t="s">
        <v>1343</v>
      </c>
      <c r="C62" s="51" t="s">
        <v>1344</v>
      </c>
      <c r="D62" s="16" t="s">
        <v>148</v>
      </c>
      <c r="E62" s="40" t="s">
        <v>1187</v>
      </c>
      <c r="F62" s="54" t="s">
        <v>1443</v>
      </c>
      <c r="G62" s="54" t="s">
        <v>49</v>
      </c>
      <c r="H62" s="54" t="s">
        <v>1346</v>
      </c>
      <c r="I62" s="54" t="s">
        <v>1444</v>
      </c>
      <c r="J62" s="54" t="s">
        <v>1379</v>
      </c>
      <c r="K62" s="54" t="s">
        <v>1445</v>
      </c>
      <c r="L62" s="54" t="s">
        <v>1446</v>
      </c>
      <c r="M62" s="54" t="s">
        <v>1447</v>
      </c>
      <c r="N62" s="54" t="s">
        <v>1448</v>
      </c>
      <c r="O62" s="54" t="s">
        <v>1449</v>
      </c>
      <c r="P62" s="54" t="s">
        <v>1450</v>
      </c>
      <c r="Q62" s="54" t="s">
        <v>1451</v>
      </c>
      <c r="R62" s="54" t="s">
        <v>1452</v>
      </c>
      <c r="S62" s="54" t="s">
        <v>1453</v>
      </c>
      <c r="T62" s="54" t="s">
        <v>1454</v>
      </c>
      <c r="U62" s="54" t="s">
        <v>1455</v>
      </c>
      <c r="V62" s="54" t="s">
        <v>1456</v>
      </c>
      <c r="W62" s="54" t="s">
        <v>1457</v>
      </c>
      <c r="X62" s="54" t="s">
        <v>49</v>
      </c>
      <c r="Y62" s="54" t="s">
        <v>49</v>
      </c>
      <c r="Z62" s="54" t="s">
        <v>49</v>
      </c>
      <c r="AA62" s="54" t="s">
        <v>1458</v>
      </c>
      <c r="AB62" s="54" t="s">
        <v>1459</v>
      </c>
      <c r="AC62" s="54" t="s">
        <v>1460</v>
      </c>
      <c r="AD62" s="54" t="s">
        <v>1461</v>
      </c>
      <c r="AE62" s="54" t="s">
        <v>1462</v>
      </c>
      <c r="AF62" s="54" t="s">
        <v>1463</v>
      </c>
      <c r="AG62" s="54" t="s">
        <v>1464</v>
      </c>
      <c r="AH62" s="54" t="s">
        <v>1465</v>
      </c>
      <c r="AI62" s="54" t="s">
        <v>1466</v>
      </c>
      <c r="AJ62" s="54" t="s">
        <v>1467</v>
      </c>
      <c r="AK62" s="54" t="s">
        <v>1468</v>
      </c>
      <c r="AL62" s="54" t="s">
        <v>1469</v>
      </c>
      <c r="AM62" s="54" t="s">
        <v>1470</v>
      </c>
      <c r="AN62" s="54" t="s">
        <v>1471</v>
      </c>
      <c r="AO62" s="54" t="s">
        <v>1472</v>
      </c>
      <c r="AP62" s="54" t="s">
        <v>1473</v>
      </c>
      <c r="AQ62" s="54" t="s">
        <v>1474</v>
      </c>
      <c r="AR62" s="54" t="s">
        <v>1475</v>
      </c>
      <c r="AS62" s="86"/>
    </row>
    <row r="63" spans="1:47" ht="15.75" customHeight="1">
      <c r="A63" s="16" t="s">
        <v>251</v>
      </c>
      <c r="B63" s="17" t="s">
        <v>1343</v>
      </c>
      <c r="C63" s="51" t="s">
        <v>1344</v>
      </c>
      <c r="D63" s="16" t="s">
        <v>180</v>
      </c>
      <c r="E63" s="40" t="s">
        <v>1187</v>
      </c>
      <c r="F63" s="54" t="s">
        <v>1443</v>
      </c>
      <c r="G63" s="54" t="s">
        <v>49</v>
      </c>
      <c r="H63" s="54" t="s">
        <v>1346</v>
      </c>
      <c r="I63" s="54" t="s">
        <v>1476</v>
      </c>
      <c r="J63" s="54" t="s">
        <v>1379</v>
      </c>
      <c r="K63" s="54" t="s">
        <v>1477</v>
      </c>
      <c r="L63" s="54" t="s">
        <v>1477</v>
      </c>
      <c r="M63" s="54" t="s">
        <v>1478</v>
      </c>
      <c r="N63" s="54" t="s">
        <v>1479</v>
      </c>
      <c r="O63" s="54" t="s">
        <v>1480</v>
      </c>
      <c r="P63" s="54" t="s">
        <v>1450</v>
      </c>
      <c r="Q63" s="54" t="s">
        <v>1481</v>
      </c>
      <c r="R63" s="54" t="s">
        <v>1482</v>
      </c>
      <c r="S63" s="54" t="s">
        <v>1483</v>
      </c>
      <c r="T63" s="54" t="s">
        <v>1484</v>
      </c>
      <c r="U63" s="54" t="s">
        <v>1485</v>
      </c>
      <c r="V63" s="54" t="s">
        <v>1486</v>
      </c>
      <c r="W63" s="54" t="s">
        <v>1487</v>
      </c>
      <c r="X63" s="54" t="s">
        <v>49</v>
      </c>
      <c r="Y63" s="54" t="s">
        <v>49</v>
      </c>
      <c r="Z63" s="54" t="s">
        <v>43</v>
      </c>
      <c r="AA63" s="54" t="s">
        <v>1488</v>
      </c>
      <c r="AB63" s="54" t="s">
        <v>1489</v>
      </c>
      <c r="AC63" s="54" t="s">
        <v>1490</v>
      </c>
      <c r="AD63" s="54" t="s">
        <v>1491</v>
      </c>
      <c r="AE63" s="54" t="s">
        <v>1492</v>
      </c>
      <c r="AF63" s="54" t="s">
        <v>1493</v>
      </c>
      <c r="AG63" s="54" t="s">
        <v>1494</v>
      </c>
      <c r="AH63" s="54" t="s">
        <v>1495</v>
      </c>
      <c r="AI63" s="54" t="s">
        <v>1496</v>
      </c>
      <c r="AJ63" s="54" t="s">
        <v>1497</v>
      </c>
      <c r="AK63" s="54" t="s">
        <v>1498</v>
      </c>
      <c r="AL63" s="54" t="s">
        <v>1499</v>
      </c>
      <c r="AM63" s="54" t="s">
        <v>1500</v>
      </c>
      <c r="AN63" s="54" t="s">
        <v>1501</v>
      </c>
      <c r="AO63" s="54" t="s">
        <v>1502</v>
      </c>
      <c r="AP63" s="54" t="s">
        <v>1503</v>
      </c>
      <c r="AQ63" s="54" t="s">
        <v>1504</v>
      </c>
      <c r="AR63" s="54" t="s">
        <v>1505</v>
      </c>
      <c r="AS63" s="86"/>
    </row>
    <row r="64" spans="1:47" ht="15.75" customHeight="1">
      <c r="A64" s="9" t="s">
        <v>281</v>
      </c>
      <c r="B64" s="45" t="s">
        <v>1506</v>
      </c>
      <c r="C64" s="51" t="s">
        <v>1507</v>
      </c>
      <c r="D64" s="9" t="s">
        <v>46</v>
      </c>
      <c r="E64" s="13" t="s">
        <v>1187</v>
      </c>
      <c r="F64" s="52" t="s">
        <v>1135</v>
      </c>
      <c r="G64" s="52" t="s">
        <v>849</v>
      </c>
      <c r="H64" s="52" t="s">
        <v>1188</v>
      </c>
      <c r="I64" s="52" t="s">
        <v>1508</v>
      </c>
      <c r="J64" s="52" t="s">
        <v>1509</v>
      </c>
      <c r="K64" s="52" t="s">
        <v>1510</v>
      </c>
      <c r="L64" s="52" t="s">
        <v>1511</v>
      </c>
      <c r="M64" s="52" t="s">
        <v>1512</v>
      </c>
      <c r="N64" s="52" t="s">
        <v>386</v>
      </c>
      <c r="O64" s="52" t="s">
        <v>1513</v>
      </c>
      <c r="P64" s="52" t="s">
        <v>1514</v>
      </c>
      <c r="Q64" s="52" t="s">
        <v>1203</v>
      </c>
      <c r="R64" s="52" t="s">
        <v>1515</v>
      </c>
      <c r="S64" s="52" t="s">
        <v>1516</v>
      </c>
      <c r="T64" s="52" t="s">
        <v>1203</v>
      </c>
      <c r="U64" s="52" t="s">
        <v>1517</v>
      </c>
      <c r="V64" s="52" t="s">
        <v>1518</v>
      </c>
      <c r="W64" s="52" t="s">
        <v>1519</v>
      </c>
      <c r="X64" s="52" t="s">
        <v>49</v>
      </c>
      <c r="Y64" s="52" t="s">
        <v>49</v>
      </c>
      <c r="Z64" s="52" t="s">
        <v>49</v>
      </c>
      <c r="AA64" s="52" t="s">
        <v>1520</v>
      </c>
      <c r="AB64" s="52" t="s">
        <v>1521</v>
      </c>
      <c r="AC64" s="52" t="s">
        <v>1522</v>
      </c>
      <c r="AD64" s="52" t="s">
        <v>1523</v>
      </c>
      <c r="AE64" s="52" t="s">
        <v>1524</v>
      </c>
      <c r="AF64" s="52" t="s">
        <v>1525</v>
      </c>
      <c r="AG64" s="52" t="s">
        <v>1526</v>
      </c>
      <c r="AH64" s="52" t="s">
        <v>1527</v>
      </c>
      <c r="AI64" s="52" t="s">
        <v>49</v>
      </c>
      <c r="AJ64" s="52" t="s">
        <v>1528</v>
      </c>
      <c r="AK64" s="52" t="s">
        <v>1529</v>
      </c>
      <c r="AL64" s="52" t="s">
        <v>1131</v>
      </c>
      <c r="AM64" s="52" t="s">
        <v>1530</v>
      </c>
      <c r="AN64" s="52" t="s">
        <v>1531</v>
      </c>
      <c r="AO64" s="52" t="s">
        <v>1532</v>
      </c>
      <c r="AP64" s="52" t="s">
        <v>1006</v>
      </c>
      <c r="AQ64" s="52" t="s">
        <v>1533</v>
      </c>
      <c r="AR64" s="52" t="s">
        <v>147</v>
      </c>
      <c r="AS64" s="86"/>
    </row>
    <row r="65" spans="1:45" ht="15.75" customHeight="1">
      <c r="A65" s="9" t="s">
        <v>281</v>
      </c>
      <c r="B65" s="45" t="s">
        <v>1506</v>
      </c>
      <c r="C65" s="51" t="s">
        <v>1507</v>
      </c>
      <c r="D65" s="9" t="s">
        <v>82</v>
      </c>
      <c r="E65" s="13" t="s">
        <v>1187</v>
      </c>
      <c r="F65" s="52" t="s">
        <v>1135</v>
      </c>
      <c r="G65" s="52" t="s">
        <v>849</v>
      </c>
      <c r="H65" s="52" t="s">
        <v>1188</v>
      </c>
      <c r="I65" s="52" t="s">
        <v>1508</v>
      </c>
      <c r="J65" s="52" t="s">
        <v>1509</v>
      </c>
      <c r="K65" s="52" t="s">
        <v>1534</v>
      </c>
      <c r="L65" s="52" t="s">
        <v>1535</v>
      </c>
      <c r="M65" s="52" t="s">
        <v>1536</v>
      </c>
      <c r="N65" s="52" t="s">
        <v>417</v>
      </c>
      <c r="O65" s="52" t="s">
        <v>1537</v>
      </c>
      <c r="P65" s="52" t="s">
        <v>1538</v>
      </c>
      <c r="Q65" s="52" t="s">
        <v>1203</v>
      </c>
      <c r="R65" s="52" t="s">
        <v>1539</v>
      </c>
      <c r="S65" s="52" t="s">
        <v>1540</v>
      </c>
      <c r="T65" s="52" t="s">
        <v>1203</v>
      </c>
      <c r="U65" s="52" t="s">
        <v>1541</v>
      </c>
      <c r="V65" s="52" t="s">
        <v>1542</v>
      </c>
      <c r="W65" s="52" t="s">
        <v>1543</v>
      </c>
      <c r="X65" s="52" t="s">
        <v>49</v>
      </c>
      <c r="Y65" s="52" t="s">
        <v>49</v>
      </c>
      <c r="Z65" s="52" t="s">
        <v>43</v>
      </c>
      <c r="AA65" s="52" t="s">
        <v>1544</v>
      </c>
      <c r="AB65" s="52" t="s">
        <v>1545</v>
      </c>
      <c r="AC65" s="52" t="s">
        <v>1546</v>
      </c>
      <c r="AD65" s="52" t="s">
        <v>1547</v>
      </c>
      <c r="AE65" s="52" t="s">
        <v>1548</v>
      </c>
      <c r="AF65" s="52" t="s">
        <v>1549</v>
      </c>
      <c r="AG65" s="52" t="s">
        <v>1550</v>
      </c>
      <c r="AH65" s="52" t="s">
        <v>1551</v>
      </c>
      <c r="AI65" s="52" t="s">
        <v>1552</v>
      </c>
      <c r="AJ65" s="52" t="s">
        <v>1553</v>
      </c>
      <c r="AK65" s="52" t="s">
        <v>1554</v>
      </c>
      <c r="AL65" s="52" t="s">
        <v>1508</v>
      </c>
      <c r="AM65" s="52" t="s">
        <v>1555</v>
      </c>
      <c r="AN65" s="52" t="s">
        <v>1556</v>
      </c>
      <c r="AO65" s="52" t="s">
        <v>1557</v>
      </c>
      <c r="AP65" s="52" t="s">
        <v>626</v>
      </c>
      <c r="AQ65" s="52" t="s">
        <v>1558</v>
      </c>
      <c r="AR65" s="52" t="s">
        <v>179</v>
      </c>
      <c r="AS65" s="86"/>
    </row>
    <row r="66" spans="1:45" ht="15.75" customHeight="1">
      <c r="A66" s="9" t="s">
        <v>281</v>
      </c>
      <c r="B66" s="45" t="s">
        <v>1506</v>
      </c>
      <c r="C66" s="51" t="s">
        <v>1507</v>
      </c>
      <c r="D66" s="9" t="s">
        <v>115</v>
      </c>
      <c r="E66" s="13" t="s">
        <v>1187</v>
      </c>
      <c r="F66" s="52" t="s">
        <v>1135</v>
      </c>
      <c r="G66" s="52" t="s">
        <v>849</v>
      </c>
      <c r="H66" s="52" t="s">
        <v>1559</v>
      </c>
      <c r="I66" s="52" t="s">
        <v>1135</v>
      </c>
      <c r="J66" s="52" t="s">
        <v>1560</v>
      </c>
      <c r="K66" s="52" t="s">
        <v>1561</v>
      </c>
      <c r="L66" s="52" t="s">
        <v>1561</v>
      </c>
      <c r="M66" s="52" t="s">
        <v>1562</v>
      </c>
      <c r="N66" s="52" t="s">
        <v>447</v>
      </c>
      <c r="O66" s="52" t="s">
        <v>1563</v>
      </c>
      <c r="P66" s="52" t="s">
        <v>1564</v>
      </c>
      <c r="Q66" s="52" t="s">
        <v>1203</v>
      </c>
      <c r="R66" s="52" t="s">
        <v>1565</v>
      </c>
      <c r="S66" s="52" t="s">
        <v>1566</v>
      </c>
      <c r="T66" s="52" t="s">
        <v>1203</v>
      </c>
      <c r="U66" s="52" t="s">
        <v>1567</v>
      </c>
      <c r="V66" s="52" t="s">
        <v>1568</v>
      </c>
      <c r="W66" s="52" t="s">
        <v>1569</v>
      </c>
      <c r="X66" s="52" t="s">
        <v>49</v>
      </c>
      <c r="Y66" s="52" t="s">
        <v>49</v>
      </c>
      <c r="Z66" s="52" t="s">
        <v>43</v>
      </c>
      <c r="AA66" s="52" t="s">
        <v>1570</v>
      </c>
      <c r="AB66" s="52" t="s">
        <v>1571</v>
      </c>
      <c r="AC66" s="52" t="s">
        <v>1572</v>
      </c>
      <c r="AD66" s="52" t="s">
        <v>1573</v>
      </c>
      <c r="AE66" s="52" t="s">
        <v>1574</v>
      </c>
      <c r="AF66" s="52" t="s">
        <v>1575</v>
      </c>
      <c r="AG66" s="52" t="s">
        <v>1576</v>
      </c>
      <c r="AH66" s="52" t="s">
        <v>1577</v>
      </c>
      <c r="AI66" s="52" t="s">
        <v>493</v>
      </c>
      <c r="AJ66" s="52" t="s">
        <v>1578</v>
      </c>
      <c r="AK66" s="52" t="s">
        <v>1579</v>
      </c>
      <c r="AL66" s="52" t="s">
        <v>1580</v>
      </c>
      <c r="AM66" s="52" t="s">
        <v>1581</v>
      </c>
      <c r="AN66" s="52" t="s">
        <v>1582</v>
      </c>
      <c r="AO66" s="52" t="s">
        <v>1583</v>
      </c>
      <c r="AP66" s="52" t="s">
        <v>687</v>
      </c>
      <c r="AQ66" s="52" t="s">
        <v>1584</v>
      </c>
      <c r="AR66" s="52" t="s">
        <v>213</v>
      </c>
      <c r="AS66" s="86"/>
    </row>
    <row r="67" spans="1:45" ht="15.75" customHeight="1">
      <c r="A67" s="9" t="s">
        <v>281</v>
      </c>
      <c r="B67" s="45" t="s">
        <v>1506</v>
      </c>
      <c r="C67" s="51" t="s">
        <v>1507</v>
      </c>
      <c r="D67" s="9" t="s">
        <v>148</v>
      </c>
      <c r="E67" s="13" t="s">
        <v>1187</v>
      </c>
      <c r="F67" s="52" t="s">
        <v>1135</v>
      </c>
      <c r="G67" s="52" t="s">
        <v>849</v>
      </c>
      <c r="H67" s="52" t="s">
        <v>1559</v>
      </c>
      <c r="I67" s="52" t="s">
        <v>1135</v>
      </c>
      <c r="J67" s="52" t="s">
        <v>1560</v>
      </c>
      <c r="K67" s="52" t="s">
        <v>1585</v>
      </c>
      <c r="L67" s="52" t="s">
        <v>1586</v>
      </c>
      <c r="M67" s="52" t="s">
        <v>1587</v>
      </c>
      <c r="N67" s="52" t="s">
        <v>476</v>
      </c>
      <c r="O67" s="52" t="s">
        <v>1588</v>
      </c>
      <c r="P67" s="52" t="s">
        <v>1589</v>
      </c>
      <c r="Q67" s="52" t="s">
        <v>1203</v>
      </c>
      <c r="R67" s="52" t="s">
        <v>1590</v>
      </c>
      <c r="S67" s="52" t="s">
        <v>1591</v>
      </c>
      <c r="T67" s="52" t="s">
        <v>1203</v>
      </c>
      <c r="U67" s="52" t="s">
        <v>1567</v>
      </c>
      <c r="V67" s="52" t="s">
        <v>1592</v>
      </c>
      <c r="W67" s="52" t="s">
        <v>1593</v>
      </c>
      <c r="X67" s="52" t="s">
        <v>49</v>
      </c>
      <c r="Y67" s="52" t="s">
        <v>49</v>
      </c>
      <c r="Z67" s="52" t="s">
        <v>43</v>
      </c>
      <c r="AA67" s="52" t="s">
        <v>1594</v>
      </c>
      <c r="AB67" s="52" t="s">
        <v>1595</v>
      </c>
      <c r="AC67" s="52" t="s">
        <v>1596</v>
      </c>
      <c r="AD67" s="52" t="s">
        <v>1597</v>
      </c>
      <c r="AE67" s="52" t="s">
        <v>1598</v>
      </c>
      <c r="AF67" s="52" t="s">
        <v>1599</v>
      </c>
      <c r="AG67" s="52" t="s">
        <v>1600</v>
      </c>
      <c r="AH67" s="52" t="s">
        <v>1601</v>
      </c>
      <c r="AI67" s="52" t="s">
        <v>493</v>
      </c>
      <c r="AJ67" s="52" t="s">
        <v>1602</v>
      </c>
      <c r="AK67" s="52" t="s">
        <v>1603</v>
      </c>
      <c r="AL67" s="52" t="s">
        <v>1604</v>
      </c>
      <c r="AM67" s="52" t="s">
        <v>1605</v>
      </c>
      <c r="AN67" s="52" t="s">
        <v>1582</v>
      </c>
      <c r="AO67" s="52" t="s">
        <v>1606</v>
      </c>
      <c r="AP67" s="52" t="s">
        <v>657</v>
      </c>
      <c r="AQ67" s="52" t="s">
        <v>1584</v>
      </c>
      <c r="AR67" s="52" t="s">
        <v>1607</v>
      </c>
      <c r="AS67" s="86"/>
    </row>
    <row r="68" spans="1:45" ht="15.75" customHeight="1">
      <c r="A68" s="9" t="s">
        <v>281</v>
      </c>
      <c r="B68" s="45" t="s">
        <v>1506</v>
      </c>
      <c r="C68" s="51" t="s">
        <v>1507</v>
      </c>
      <c r="D68" s="9" t="s">
        <v>180</v>
      </c>
      <c r="E68" s="13" t="s">
        <v>1187</v>
      </c>
      <c r="F68" s="52" t="s">
        <v>1135</v>
      </c>
      <c r="G68" s="52" t="s">
        <v>849</v>
      </c>
      <c r="H68" s="52" t="s">
        <v>1559</v>
      </c>
      <c r="I68" s="52" t="s">
        <v>1608</v>
      </c>
      <c r="J68" s="52" t="s">
        <v>1560</v>
      </c>
      <c r="K68" s="52" t="s">
        <v>1609</v>
      </c>
      <c r="L68" s="52" t="s">
        <v>1610</v>
      </c>
      <c r="M68" s="52" t="s">
        <v>1611</v>
      </c>
      <c r="N68" s="52" t="s">
        <v>507</v>
      </c>
      <c r="O68" s="52" t="s">
        <v>1612</v>
      </c>
      <c r="P68" s="52" t="s">
        <v>1589</v>
      </c>
      <c r="Q68" s="52" t="s">
        <v>1203</v>
      </c>
      <c r="R68" s="52" t="s">
        <v>1613</v>
      </c>
      <c r="S68" s="52" t="s">
        <v>1614</v>
      </c>
      <c r="T68" s="52" t="s">
        <v>1203</v>
      </c>
      <c r="U68" s="52" t="s">
        <v>1615</v>
      </c>
      <c r="V68" s="52" t="s">
        <v>1616</v>
      </c>
      <c r="W68" s="52" t="s">
        <v>1617</v>
      </c>
      <c r="X68" s="52" t="s">
        <v>49</v>
      </c>
      <c r="Y68" s="52" t="s">
        <v>49</v>
      </c>
      <c r="Z68" s="52" t="s">
        <v>43</v>
      </c>
      <c r="AA68" s="52" t="s">
        <v>1618</v>
      </c>
      <c r="AB68" s="52" t="s">
        <v>1619</v>
      </c>
      <c r="AC68" s="52" t="s">
        <v>1620</v>
      </c>
      <c r="AD68" s="52" t="s">
        <v>1621</v>
      </c>
      <c r="AE68" s="52" t="s">
        <v>1622</v>
      </c>
      <c r="AF68" s="52" t="s">
        <v>1623</v>
      </c>
      <c r="AG68" s="52" t="s">
        <v>1624</v>
      </c>
      <c r="AH68" s="52" t="s">
        <v>1625</v>
      </c>
      <c r="AI68" s="52" t="s">
        <v>1626</v>
      </c>
      <c r="AJ68" s="52" t="s">
        <v>1627</v>
      </c>
      <c r="AK68" s="52" t="s">
        <v>1628</v>
      </c>
      <c r="AL68" s="52" t="s">
        <v>1629</v>
      </c>
      <c r="AM68" s="52" t="s">
        <v>1630</v>
      </c>
      <c r="AN68" s="52" t="s">
        <v>1631</v>
      </c>
      <c r="AO68" s="52" t="s">
        <v>1632</v>
      </c>
      <c r="AP68" s="52" t="s">
        <v>1633</v>
      </c>
      <c r="AQ68" s="52" t="s">
        <v>1634</v>
      </c>
      <c r="AR68" s="52" t="s">
        <v>1635</v>
      </c>
      <c r="AS68" s="86"/>
    </row>
    <row r="69" spans="1:45" ht="15.75" customHeight="1">
      <c r="A69" s="16" t="s">
        <v>311</v>
      </c>
      <c r="B69" s="17" t="s">
        <v>1636</v>
      </c>
      <c r="C69" s="51" t="s">
        <v>1637</v>
      </c>
      <c r="D69" s="16" t="s">
        <v>46</v>
      </c>
      <c r="E69" s="48" t="s">
        <v>1187</v>
      </c>
      <c r="F69" s="55" t="s">
        <v>1638</v>
      </c>
      <c r="G69" s="55" t="s">
        <v>49</v>
      </c>
      <c r="H69" s="55" t="s">
        <v>1639</v>
      </c>
      <c r="I69" s="55" t="s">
        <v>1640</v>
      </c>
      <c r="J69" s="56" t="s">
        <v>1641</v>
      </c>
      <c r="K69" s="56" t="s">
        <v>1642</v>
      </c>
      <c r="L69" s="56" t="s">
        <v>1642</v>
      </c>
      <c r="M69" s="56" t="s">
        <v>1643</v>
      </c>
      <c r="N69" s="56" t="s">
        <v>1644</v>
      </c>
      <c r="O69" s="56" t="s">
        <v>1645</v>
      </c>
      <c r="P69" s="56" t="s">
        <v>1646</v>
      </c>
      <c r="Q69" s="56" t="s">
        <v>1647</v>
      </c>
      <c r="R69" s="56" t="s">
        <v>1648</v>
      </c>
      <c r="S69" s="56" t="s">
        <v>1203</v>
      </c>
      <c r="T69" s="55" t="s">
        <v>1649</v>
      </c>
      <c r="U69" s="56" t="s">
        <v>1650</v>
      </c>
      <c r="V69" s="56" t="s">
        <v>1651</v>
      </c>
      <c r="W69" s="56" t="s">
        <v>1652</v>
      </c>
      <c r="X69" s="55" t="s">
        <v>1653</v>
      </c>
      <c r="Y69" s="55" t="s">
        <v>43</v>
      </c>
      <c r="Z69" s="55" t="s">
        <v>43</v>
      </c>
      <c r="AA69" s="56" t="s">
        <v>1654</v>
      </c>
      <c r="AB69" s="56" t="s">
        <v>1655</v>
      </c>
      <c r="AC69" s="56" t="s">
        <v>1656</v>
      </c>
      <c r="AD69" s="56" t="s">
        <v>1657</v>
      </c>
      <c r="AE69" s="56" t="s">
        <v>1658</v>
      </c>
      <c r="AF69" s="56" t="s">
        <v>1659</v>
      </c>
      <c r="AG69" s="56" t="s">
        <v>1660</v>
      </c>
      <c r="AH69" s="56" t="s">
        <v>1661</v>
      </c>
      <c r="AI69" s="56" t="s">
        <v>1662</v>
      </c>
      <c r="AJ69" s="56" t="s">
        <v>1663</v>
      </c>
      <c r="AK69" s="56" t="s">
        <v>1664</v>
      </c>
      <c r="AL69" s="55" t="s">
        <v>1665</v>
      </c>
      <c r="AM69" s="56" t="s">
        <v>1666</v>
      </c>
      <c r="AN69" s="56" t="s">
        <v>49</v>
      </c>
      <c r="AO69" s="56" t="s">
        <v>1667</v>
      </c>
      <c r="AP69" s="55" t="s">
        <v>1668</v>
      </c>
      <c r="AQ69" s="56" t="s">
        <v>1669</v>
      </c>
      <c r="AR69" s="55" t="s">
        <v>114</v>
      </c>
      <c r="AS69" s="86"/>
    </row>
    <row r="70" spans="1:45" ht="15.75" customHeight="1">
      <c r="A70" s="16" t="s">
        <v>311</v>
      </c>
      <c r="B70" s="17" t="s">
        <v>1636</v>
      </c>
      <c r="C70" s="51" t="s">
        <v>1637</v>
      </c>
      <c r="D70" s="16" t="s">
        <v>82</v>
      </c>
      <c r="E70" s="40" t="s">
        <v>1187</v>
      </c>
      <c r="F70" s="54" t="s">
        <v>1670</v>
      </c>
      <c r="G70" s="54" t="s">
        <v>49</v>
      </c>
      <c r="H70" s="54" t="s">
        <v>1671</v>
      </c>
      <c r="I70" s="54" t="s">
        <v>1671</v>
      </c>
      <c r="J70" s="54" t="s">
        <v>1672</v>
      </c>
      <c r="K70" s="54" t="s">
        <v>1673</v>
      </c>
      <c r="L70" s="54" t="s">
        <v>1673</v>
      </c>
      <c r="M70" s="54" t="s">
        <v>1674</v>
      </c>
      <c r="N70" s="54" t="s">
        <v>1675</v>
      </c>
      <c r="O70" s="54" t="s">
        <v>1676</v>
      </c>
      <c r="P70" s="54" t="s">
        <v>1677</v>
      </c>
      <c r="Q70" s="54" t="s">
        <v>1678</v>
      </c>
      <c r="R70" s="54" t="s">
        <v>1679</v>
      </c>
      <c r="S70" s="54" t="s">
        <v>1680</v>
      </c>
      <c r="T70" s="54" t="s">
        <v>1681</v>
      </c>
      <c r="U70" s="54" t="s">
        <v>1682</v>
      </c>
      <c r="V70" s="54" t="s">
        <v>1683</v>
      </c>
      <c r="W70" s="54" t="s">
        <v>1684</v>
      </c>
      <c r="X70" s="54" t="s">
        <v>1653</v>
      </c>
      <c r="Y70" s="54" t="s">
        <v>49</v>
      </c>
      <c r="Z70" s="54" t="s">
        <v>49</v>
      </c>
      <c r="AA70" s="54" t="s">
        <v>1685</v>
      </c>
      <c r="AB70" s="54" t="s">
        <v>1686</v>
      </c>
      <c r="AC70" s="54" t="s">
        <v>1687</v>
      </c>
      <c r="AD70" s="54" t="s">
        <v>1688</v>
      </c>
      <c r="AE70" s="54" t="s">
        <v>1689</v>
      </c>
      <c r="AF70" s="54" t="s">
        <v>1690</v>
      </c>
      <c r="AG70" s="54" t="s">
        <v>1691</v>
      </c>
      <c r="AH70" s="54" t="s">
        <v>1692</v>
      </c>
      <c r="AI70" s="54" t="s">
        <v>1693</v>
      </c>
      <c r="AJ70" s="54" t="s">
        <v>1694</v>
      </c>
      <c r="AK70" s="54" t="s">
        <v>1695</v>
      </c>
      <c r="AL70" s="54" t="s">
        <v>1696</v>
      </c>
      <c r="AM70" s="54" t="s">
        <v>1697</v>
      </c>
      <c r="AN70" s="54" t="s">
        <v>1698</v>
      </c>
      <c r="AO70" s="54" t="s">
        <v>1699</v>
      </c>
      <c r="AP70" s="54" t="s">
        <v>1700</v>
      </c>
      <c r="AQ70" s="54" t="s">
        <v>1701</v>
      </c>
      <c r="AR70" s="54" t="s">
        <v>147</v>
      </c>
      <c r="AS70" s="86"/>
    </row>
    <row r="71" spans="1:45" ht="15.75" customHeight="1">
      <c r="A71" s="16" t="s">
        <v>311</v>
      </c>
      <c r="B71" s="17" t="s">
        <v>1636</v>
      </c>
      <c r="C71" s="51" t="s">
        <v>1637</v>
      </c>
      <c r="D71" s="16" t="s">
        <v>115</v>
      </c>
      <c r="E71" s="40" t="s">
        <v>1187</v>
      </c>
      <c r="F71" s="54" t="s">
        <v>1702</v>
      </c>
      <c r="G71" s="54" t="s">
        <v>49</v>
      </c>
      <c r="H71" s="54" t="s">
        <v>1703</v>
      </c>
      <c r="I71" s="54" t="s">
        <v>1704</v>
      </c>
      <c r="J71" s="54" t="s">
        <v>1705</v>
      </c>
      <c r="K71" s="54" t="s">
        <v>1706</v>
      </c>
      <c r="L71" s="54" t="s">
        <v>1706</v>
      </c>
      <c r="M71" s="54" t="s">
        <v>1707</v>
      </c>
      <c r="N71" s="54" t="s">
        <v>49</v>
      </c>
      <c r="O71" s="54" t="s">
        <v>1708</v>
      </c>
      <c r="P71" s="54" t="s">
        <v>1709</v>
      </c>
      <c r="Q71" s="54" t="s">
        <v>1710</v>
      </c>
      <c r="R71" s="54" t="s">
        <v>1711</v>
      </c>
      <c r="S71" s="54" t="s">
        <v>1712</v>
      </c>
      <c r="T71" s="54" t="s">
        <v>1713</v>
      </c>
      <c r="U71" s="54" t="s">
        <v>1714</v>
      </c>
      <c r="V71" s="54" t="s">
        <v>1715</v>
      </c>
      <c r="W71" s="54" t="s">
        <v>1716</v>
      </c>
      <c r="X71" s="54" t="s">
        <v>1653</v>
      </c>
      <c r="Y71" s="54" t="s">
        <v>49</v>
      </c>
      <c r="Z71" s="54" t="s">
        <v>49</v>
      </c>
      <c r="AA71" s="54" t="s">
        <v>1717</v>
      </c>
      <c r="AB71" s="54" t="s">
        <v>1718</v>
      </c>
      <c r="AC71" s="54" t="s">
        <v>1719</v>
      </c>
      <c r="AD71" s="54" t="s">
        <v>1720</v>
      </c>
      <c r="AE71" s="54" t="s">
        <v>1721</v>
      </c>
      <c r="AF71" s="54" t="s">
        <v>1722</v>
      </c>
      <c r="AG71" s="54" t="s">
        <v>1723</v>
      </c>
      <c r="AH71" s="54" t="s">
        <v>1724</v>
      </c>
      <c r="AI71" s="54" t="s">
        <v>1725</v>
      </c>
      <c r="AJ71" s="54" t="s">
        <v>1726</v>
      </c>
      <c r="AK71" s="54" t="s">
        <v>1727</v>
      </c>
      <c r="AL71" s="54" t="s">
        <v>1728</v>
      </c>
      <c r="AM71" s="54" t="s">
        <v>1729</v>
      </c>
      <c r="AN71" s="54" t="s">
        <v>1730</v>
      </c>
      <c r="AO71" s="54" t="s">
        <v>1731</v>
      </c>
      <c r="AP71" s="54" t="s">
        <v>1732</v>
      </c>
      <c r="AQ71" s="54" t="s">
        <v>1733</v>
      </c>
      <c r="AR71" s="54" t="s">
        <v>179</v>
      </c>
      <c r="AS71" s="86"/>
    </row>
    <row r="72" spans="1:45" ht="15.75" customHeight="1">
      <c r="A72" s="16" t="s">
        <v>311</v>
      </c>
      <c r="B72" s="17" t="s">
        <v>1636</v>
      </c>
      <c r="C72" s="51" t="s">
        <v>1637</v>
      </c>
      <c r="D72" s="16" t="s">
        <v>148</v>
      </c>
      <c r="E72" s="40" t="s">
        <v>1187</v>
      </c>
      <c r="F72" s="54" t="s">
        <v>1734</v>
      </c>
      <c r="G72" s="54" t="s">
        <v>49</v>
      </c>
      <c r="H72" s="54" t="s">
        <v>1735</v>
      </c>
      <c r="I72" s="54" t="s">
        <v>1736</v>
      </c>
      <c r="J72" s="54" t="s">
        <v>1705</v>
      </c>
      <c r="K72" s="54" t="s">
        <v>1737</v>
      </c>
      <c r="L72" s="54" t="s">
        <v>1737</v>
      </c>
      <c r="M72" s="54" t="s">
        <v>1738</v>
      </c>
      <c r="N72" s="54" t="s">
        <v>49</v>
      </c>
      <c r="O72" s="54" t="s">
        <v>1739</v>
      </c>
      <c r="P72" s="54" t="s">
        <v>49</v>
      </c>
      <c r="Q72" s="54" t="s">
        <v>1740</v>
      </c>
      <c r="R72" s="54" t="s">
        <v>1741</v>
      </c>
      <c r="S72" s="54" t="s">
        <v>1742</v>
      </c>
      <c r="T72" s="54" t="s">
        <v>1743</v>
      </c>
      <c r="U72" s="54" t="s">
        <v>1744</v>
      </c>
      <c r="V72" s="54" t="s">
        <v>1745</v>
      </c>
      <c r="W72" s="54" t="s">
        <v>1746</v>
      </c>
      <c r="X72" s="54" t="s">
        <v>1653</v>
      </c>
      <c r="Y72" s="54" t="s">
        <v>49</v>
      </c>
      <c r="Z72" s="54" t="s">
        <v>49</v>
      </c>
      <c r="AA72" s="54" t="s">
        <v>1747</v>
      </c>
      <c r="AB72" s="54" t="s">
        <v>1748</v>
      </c>
      <c r="AC72" s="54" t="s">
        <v>1749</v>
      </c>
      <c r="AD72" s="54" t="s">
        <v>1750</v>
      </c>
      <c r="AE72" s="54" t="s">
        <v>1751</v>
      </c>
      <c r="AF72" s="54" t="s">
        <v>1752</v>
      </c>
      <c r="AG72" s="54" t="s">
        <v>1753</v>
      </c>
      <c r="AH72" s="54" t="s">
        <v>1754</v>
      </c>
      <c r="AI72" s="54" t="s">
        <v>1755</v>
      </c>
      <c r="AJ72" s="54" t="s">
        <v>1756</v>
      </c>
      <c r="AK72" s="54" t="s">
        <v>1757</v>
      </c>
      <c r="AL72" s="54" t="s">
        <v>1758</v>
      </c>
      <c r="AM72" s="54" t="s">
        <v>1759</v>
      </c>
      <c r="AN72" s="54" t="s">
        <v>1760</v>
      </c>
      <c r="AO72" s="54" t="s">
        <v>1761</v>
      </c>
      <c r="AP72" s="54" t="s">
        <v>1762</v>
      </c>
      <c r="AQ72" s="54" t="s">
        <v>1763</v>
      </c>
      <c r="AR72" s="54" t="s">
        <v>213</v>
      </c>
      <c r="AS72" s="86"/>
    </row>
    <row r="73" spans="1:45" ht="15.75" customHeight="1">
      <c r="A73" s="16" t="s">
        <v>311</v>
      </c>
      <c r="B73" s="17" t="s">
        <v>1636</v>
      </c>
      <c r="C73" s="51" t="s">
        <v>1637</v>
      </c>
      <c r="D73" s="16" t="s">
        <v>180</v>
      </c>
      <c r="E73" s="40" t="s">
        <v>1187</v>
      </c>
      <c r="F73" s="54" t="s">
        <v>1764</v>
      </c>
      <c r="G73" s="54" t="s">
        <v>49</v>
      </c>
      <c r="H73" s="54" t="s">
        <v>1765</v>
      </c>
      <c r="I73" s="54" t="s">
        <v>1766</v>
      </c>
      <c r="J73" s="54" t="s">
        <v>1767</v>
      </c>
      <c r="K73" s="54" t="s">
        <v>1768</v>
      </c>
      <c r="L73" s="54" t="s">
        <v>1768</v>
      </c>
      <c r="M73" s="54" t="s">
        <v>1769</v>
      </c>
      <c r="N73" s="54" t="s">
        <v>49</v>
      </c>
      <c r="O73" s="54" t="s">
        <v>1770</v>
      </c>
      <c r="P73" s="54" t="s">
        <v>1771</v>
      </c>
      <c r="Q73" s="54" t="s">
        <v>1772</v>
      </c>
      <c r="R73" s="54" t="s">
        <v>1773</v>
      </c>
      <c r="S73" s="54" t="s">
        <v>1774</v>
      </c>
      <c r="T73" s="54" t="s">
        <v>1775</v>
      </c>
      <c r="U73" s="54" t="s">
        <v>1776</v>
      </c>
      <c r="V73" s="54" t="s">
        <v>1777</v>
      </c>
      <c r="W73" s="54" t="s">
        <v>1778</v>
      </c>
      <c r="X73" s="54" t="s">
        <v>1653</v>
      </c>
      <c r="Y73" s="54" t="s">
        <v>49</v>
      </c>
      <c r="Z73" s="54" t="s">
        <v>49</v>
      </c>
      <c r="AA73" s="54" t="s">
        <v>1779</v>
      </c>
      <c r="AB73" s="54" t="s">
        <v>1780</v>
      </c>
      <c r="AC73" s="54" t="s">
        <v>1781</v>
      </c>
      <c r="AD73" s="54" t="s">
        <v>1782</v>
      </c>
      <c r="AE73" s="54" t="s">
        <v>1783</v>
      </c>
      <c r="AF73" s="54" t="s">
        <v>1784</v>
      </c>
      <c r="AG73" s="54" t="s">
        <v>1785</v>
      </c>
      <c r="AH73" s="54" t="s">
        <v>1786</v>
      </c>
      <c r="AI73" s="54" t="s">
        <v>1787</v>
      </c>
      <c r="AJ73" s="54" t="s">
        <v>1788</v>
      </c>
      <c r="AK73" s="54" t="s">
        <v>1789</v>
      </c>
      <c r="AL73" s="54" t="s">
        <v>1790</v>
      </c>
      <c r="AM73" s="54" t="s">
        <v>1791</v>
      </c>
      <c r="AN73" s="54" t="s">
        <v>1792</v>
      </c>
      <c r="AO73" s="54" t="s">
        <v>409</v>
      </c>
      <c r="AP73" s="54" t="s">
        <v>1793</v>
      </c>
      <c r="AQ73" s="54" t="s">
        <v>1794</v>
      </c>
      <c r="AR73" s="54" t="s">
        <v>1607</v>
      </c>
      <c r="AS73" s="86"/>
    </row>
    <row r="74" spans="1:45" ht="15.75" customHeight="1">
      <c r="A74" s="9" t="s">
        <v>344</v>
      </c>
      <c r="B74" s="57" t="s">
        <v>1795</v>
      </c>
      <c r="C74" s="51" t="s">
        <v>1796</v>
      </c>
      <c r="D74" s="9" t="s">
        <v>46</v>
      </c>
      <c r="E74" s="13" t="s">
        <v>1187</v>
      </c>
      <c r="F74" s="52" t="s">
        <v>1797</v>
      </c>
      <c r="G74" s="52" t="s">
        <v>1798</v>
      </c>
      <c r="H74" s="52" t="s">
        <v>1799</v>
      </c>
      <c r="I74" s="52" t="s">
        <v>1800</v>
      </c>
      <c r="J74" s="52" t="s">
        <v>1801</v>
      </c>
      <c r="K74" s="52" t="s">
        <v>1802</v>
      </c>
      <c r="L74" s="52" t="s">
        <v>1802</v>
      </c>
      <c r="M74" s="52" t="s">
        <v>1803</v>
      </c>
      <c r="N74" s="52" t="s">
        <v>1804</v>
      </c>
      <c r="O74" s="52" t="s">
        <v>1805</v>
      </c>
      <c r="P74" s="52" t="s">
        <v>1806</v>
      </c>
      <c r="Q74" s="52" t="s">
        <v>1807</v>
      </c>
      <c r="R74" s="52" t="s">
        <v>1808</v>
      </c>
      <c r="S74" s="52" t="s">
        <v>1809</v>
      </c>
      <c r="T74" s="52" t="s">
        <v>1810</v>
      </c>
      <c r="U74" s="52" t="s">
        <v>1811</v>
      </c>
      <c r="V74" s="52" t="s">
        <v>1812</v>
      </c>
      <c r="W74" s="52" t="s">
        <v>1813</v>
      </c>
      <c r="X74" s="52" t="s">
        <v>1814</v>
      </c>
      <c r="Y74" s="52" t="s">
        <v>43</v>
      </c>
      <c r="Z74" s="52" t="s">
        <v>43</v>
      </c>
      <c r="AA74" s="52" t="s">
        <v>1815</v>
      </c>
      <c r="AB74" s="52" t="s">
        <v>1816</v>
      </c>
      <c r="AC74" s="52" t="s">
        <v>1817</v>
      </c>
      <c r="AD74" s="52" t="s">
        <v>1818</v>
      </c>
      <c r="AE74" s="52" t="s">
        <v>1819</v>
      </c>
      <c r="AF74" s="52" t="s">
        <v>1820</v>
      </c>
      <c r="AG74" s="52" t="s">
        <v>1821</v>
      </c>
      <c r="AH74" s="52" t="s">
        <v>1822</v>
      </c>
      <c r="AI74" s="52" t="s">
        <v>1823</v>
      </c>
      <c r="AJ74" s="52" t="s">
        <v>1824</v>
      </c>
      <c r="AK74" s="52" t="s">
        <v>1825</v>
      </c>
      <c r="AL74" s="52" t="s">
        <v>1826</v>
      </c>
      <c r="AM74" s="52" t="s">
        <v>1827</v>
      </c>
      <c r="AN74" s="52" t="s">
        <v>1828</v>
      </c>
      <c r="AO74" s="52" t="s">
        <v>1829</v>
      </c>
      <c r="AP74" s="52" t="s">
        <v>1830</v>
      </c>
      <c r="AQ74" s="52" t="s">
        <v>1831</v>
      </c>
      <c r="AR74" s="52" t="s">
        <v>281</v>
      </c>
    </row>
    <row r="75" spans="1:45" ht="15.75" customHeight="1">
      <c r="A75" s="9" t="s">
        <v>344</v>
      </c>
      <c r="B75" s="57" t="s">
        <v>1795</v>
      </c>
      <c r="C75" s="51" t="s">
        <v>1796</v>
      </c>
      <c r="D75" s="9" t="s">
        <v>82</v>
      </c>
      <c r="E75" s="13" t="s">
        <v>1187</v>
      </c>
      <c r="F75" s="52" t="s">
        <v>1832</v>
      </c>
      <c r="G75" s="52" t="s">
        <v>1798</v>
      </c>
      <c r="H75" s="52" t="s">
        <v>1833</v>
      </c>
      <c r="I75" s="52" t="s">
        <v>1834</v>
      </c>
      <c r="J75" s="52" t="s">
        <v>1835</v>
      </c>
      <c r="K75" s="52" t="s">
        <v>1836</v>
      </c>
      <c r="L75" s="52" t="s">
        <v>1836</v>
      </c>
      <c r="M75" s="52" t="s">
        <v>1837</v>
      </c>
      <c r="N75" s="52" t="s">
        <v>1838</v>
      </c>
      <c r="O75" s="52" t="s">
        <v>1839</v>
      </c>
      <c r="P75" s="52" t="s">
        <v>1840</v>
      </c>
      <c r="Q75" s="52" t="s">
        <v>1841</v>
      </c>
      <c r="R75" s="52" t="s">
        <v>1842</v>
      </c>
      <c r="S75" s="52" t="s">
        <v>1843</v>
      </c>
      <c r="T75" s="52" t="s">
        <v>1844</v>
      </c>
      <c r="U75" s="52" t="s">
        <v>1845</v>
      </c>
      <c r="V75" s="52" t="s">
        <v>1846</v>
      </c>
      <c r="W75" s="52" t="s">
        <v>1847</v>
      </c>
      <c r="X75" s="52" t="s">
        <v>1848</v>
      </c>
      <c r="Y75" s="52" t="s">
        <v>43</v>
      </c>
      <c r="Z75" s="52" t="s">
        <v>43</v>
      </c>
      <c r="AA75" s="52" t="s">
        <v>1849</v>
      </c>
      <c r="AB75" s="52" t="s">
        <v>1850</v>
      </c>
      <c r="AC75" s="52" t="s">
        <v>1851</v>
      </c>
      <c r="AD75" s="52" t="s">
        <v>1852</v>
      </c>
      <c r="AE75" s="52" t="s">
        <v>1853</v>
      </c>
      <c r="AF75" s="52" t="s">
        <v>1854</v>
      </c>
      <c r="AG75" s="52" t="s">
        <v>1855</v>
      </c>
      <c r="AH75" s="52" t="s">
        <v>1856</v>
      </c>
      <c r="AI75" s="52" t="s">
        <v>1823</v>
      </c>
      <c r="AJ75" s="52" t="s">
        <v>1857</v>
      </c>
      <c r="AK75" s="52" t="s">
        <v>1858</v>
      </c>
      <c r="AL75" s="52" t="s">
        <v>1859</v>
      </c>
      <c r="AM75" s="52" t="s">
        <v>1860</v>
      </c>
      <c r="AN75" s="52" t="s">
        <v>1861</v>
      </c>
      <c r="AO75" s="52" t="s">
        <v>1862</v>
      </c>
      <c r="AP75" s="52" t="s">
        <v>1863</v>
      </c>
      <c r="AQ75" s="52" t="s">
        <v>1864</v>
      </c>
      <c r="AR75" s="52" t="s">
        <v>311</v>
      </c>
    </row>
    <row r="76" spans="1:45" ht="15.75" customHeight="1">
      <c r="A76" s="9" t="s">
        <v>344</v>
      </c>
      <c r="B76" s="57" t="s">
        <v>1795</v>
      </c>
      <c r="C76" s="51" t="s">
        <v>1796</v>
      </c>
      <c r="D76" s="9" t="s">
        <v>115</v>
      </c>
      <c r="E76" s="13" t="s">
        <v>1187</v>
      </c>
      <c r="F76" s="52" t="s">
        <v>1865</v>
      </c>
      <c r="G76" s="52" t="s">
        <v>1798</v>
      </c>
      <c r="H76" s="52" t="s">
        <v>1866</v>
      </c>
      <c r="I76" s="52" t="s">
        <v>1867</v>
      </c>
      <c r="J76" s="52" t="s">
        <v>1868</v>
      </c>
      <c r="K76" s="52" t="s">
        <v>1869</v>
      </c>
      <c r="L76" s="52" t="s">
        <v>1869</v>
      </c>
      <c r="M76" s="52" t="s">
        <v>1870</v>
      </c>
      <c r="N76" s="52" t="s">
        <v>1871</v>
      </c>
      <c r="O76" s="52" t="s">
        <v>1872</v>
      </c>
      <c r="P76" s="52" t="s">
        <v>1873</v>
      </c>
      <c r="Q76" s="52" t="s">
        <v>1874</v>
      </c>
      <c r="R76" s="52" t="s">
        <v>1875</v>
      </c>
      <c r="S76" s="52" t="s">
        <v>1876</v>
      </c>
      <c r="T76" s="52" t="s">
        <v>1877</v>
      </c>
      <c r="U76" s="52" t="s">
        <v>1878</v>
      </c>
      <c r="V76" s="52" t="s">
        <v>1879</v>
      </c>
      <c r="W76" s="52" t="s">
        <v>1880</v>
      </c>
      <c r="X76" s="52" t="s">
        <v>1881</v>
      </c>
      <c r="Y76" s="52" t="s">
        <v>43</v>
      </c>
      <c r="Z76" s="52" t="s">
        <v>43</v>
      </c>
      <c r="AA76" s="52" t="s">
        <v>1882</v>
      </c>
      <c r="AB76" s="52" t="s">
        <v>1883</v>
      </c>
      <c r="AC76" s="52" t="s">
        <v>1884</v>
      </c>
      <c r="AD76" s="52" t="s">
        <v>1885</v>
      </c>
      <c r="AE76" s="52" t="s">
        <v>1886</v>
      </c>
      <c r="AF76" s="52" t="s">
        <v>1887</v>
      </c>
      <c r="AG76" s="52" t="s">
        <v>1888</v>
      </c>
      <c r="AH76" s="52" t="s">
        <v>1889</v>
      </c>
      <c r="AI76" s="52" t="s">
        <v>49</v>
      </c>
      <c r="AJ76" s="52" t="s">
        <v>1890</v>
      </c>
      <c r="AK76" s="52" t="s">
        <v>1891</v>
      </c>
      <c r="AL76" s="52" t="s">
        <v>1892</v>
      </c>
      <c r="AM76" s="52" t="s">
        <v>1893</v>
      </c>
      <c r="AN76" s="52" t="s">
        <v>1894</v>
      </c>
      <c r="AO76" s="52" t="s">
        <v>1895</v>
      </c>
      <c r="AP76" s="52" t="s">
        <v>1896</v>
      </c>
      <c r="AQ76" s="52" t="s">
        <v>1897</v>
      </c>
      <c r="AR76" s="52" t="s">
        <v>344</v>
      </c>
    </row>
    <row r="77" spans="1:45" ht="15.75" customHeight="1">
      <c r="A77" s="9" t="s">
        <v>344</v>
      </c>
      <c r="B77" s="57" t="s">
        <v>1795</v>
      </c>
      <c r="C77" s="51" t="s">
        <v>1796</v>
      </c>
      <c r="D77" s="9" t="s">
        <v>148</v>
      </c>
      <c r="E77" s="13" t="s">
        <v>1187</v>
      </c>
      <c r="F77" s="52" t="s">
        <v>1865</v>
      </c>
      <c r="G77" s="52" t="s">
        <v>1798</v>
      </c>
      <c r="H77" s="52" t="s">
        <v>1898</v>
      </c>
      <c r="I77" s="52" t="s">
        <v>1899</v>
      </c>
      <c r="J77" s="52" t="s">
        <v>1868</v>
      </c>
      <c r="K77" s="52" t="s">
        <v>1900</v>
      </c>
      <c r="L77" s="52" t="s">
        <v>1900</v>
      </c>
      <c r="M77" s="52" t="s">
        <v>1901</v>
      </c>
      <c r="N77" s="52" t="s">
        <v>1902</v>
      </c>
      <c r="O77" s="52" t="s">
        <v>1903</v>
      </c>
      <c r="P77" s="52" t="s">
        <v>1904</v>
      </c>
      <c r="Q77" s="52" t="s">
        <v>1905</v>
      </c>
      <c r="R77" s="52" t="s">
        <v>1906</v>
      </c>
      <c r="S77" s="52" t="s">
        <v>1907</v>
      </c>
      <c r="T77" s="52" t="s">
        <v>1908</v>
      </c>
      <c r="U77" s="52" t="s">
        <v>1909</v>
      </c>
      <c r="V77" s="52" t="s">
        <v>1910</v>
      </c>
      <c r="W77" s="52" t="s">
        <v>1911</v>
      </c>
      <c r="X77" s="52" t="s">
        <v>1881</v>
      </c>
      <c r="Y77" s="52" t="s">
        <v>43</v>
      </c>
      <c r="Z77" s="52" t="s">
        <v>43</v>
      </c>
      <c r="AA77" s="52" t="s">
        <v>1912</v>
      </c>
      <c r="AB77" s="52" t="s">
        <v>1913</v>
      </c>
      <c r="AC77" s="52" t="s">
        <v>1914</v>
      </c>
      <c r="AD77" s="52" t="s">
        <v>1915</v>
      </c>
      <c r="AE77" s="52" t="s">
        <v>1916</v>
      </c>
      <c r="AF77" s="52" t="s">
        <v>1917</v>
      </c>
      <c r="AG77" s="52" t="s">
        <v>1918</v>
      </c>
      <c r="AH77" s="52" t="s">
        <v>1919</v>
      </c>
      <c r="AI77" s="52" t="s">
        <v>49</v>
      </c>
      <c r="AJ77" s="52" t="s">
        <v>1920</v>
      </c>
      <c r="AK77" s="52" t="s">
        <v>1921</v>
      </c>
      <c r="AL77" s="52" t="s">
        <v>1922</v>
      </c>
      <c r="AM77" s="52" t="s">
        <v>1923</v>
      </c>
      <c r="AN77" s="52" t="s">
        <v>1924</v>
      </c>
      <c r="AO77" s="52" t="s">
        <v>1925</v>
      </c>
      <c r="AP77" s="52" t="s">
        <v>1668</v>
      </c>
      <c r="AQ77" s="52" t="s">
        <v>1926</v>
      </c>
      <c r="AR77" s="52" t="s">
        <v>376</v>
      </c>
    </row>
    <row r="78" spans="1:45" ht="15.75" customHeight="1">
      <c r="A78" s="9" t="s">
        <v>344</v>
      </c>
      <c r="B78" s="57" t="s">
        <v>1795</v>
      </c>
      <c r="C78" s="51" t="s">
        <v>1796</v>
      </c>
      <c r="D78" s="9" t="s">
        <v>180</v>
      </c>
      <c r="E78" s="13" t="s">
        <v>1187</v>
      </c>
      <c r="F78" s="52" t="s">
        <v>1927</v>
      </c>
      <c r="G78" s="52" t="s">
        <v>1798</v>
      </c>
      <c r="H78" s="52" t="s">
        <v>1928</v>
      </c>
      <c r="I78" s="52" t="s">
        <v>1929</v>
      </c>
      <c r="J78" s="52" t="s">
        <v>1868</v>
      </c>
      <c r="K78" s="52" t="s">
        <v>1930</v>
      </c>
      <c r="L78" s="52" t="s">
        <v>1930</v>
      </c>
      <c r="M78" s="52" t="s">
        <v>1931</v>
      </c>
      <c r="N78" s="52" t="s">
        <v>1932</v>
      </c>
      <c r="O78" s="52" t="s">
        <v>1933</v>
      </c>
      <c r="P78" s="52" t="s">
        <v>1934</v>
      </c>
      <c r="Q78" s="52" t="s">
        <v>1203</v>
      </c>
      <c r="R78" s="52" t="s">
        <v>1935</v>
      </c>
      <c r="S78" s="52" t="s">
        <v>1203</v>
      </c>
      <c r="T78" s="52" t="s">
        <v>1203</v>
      </c>
      <c r="U78" s="52" t="s">
        <v>1936</v>
      </c>
      <c r="V78" s="52" t="s">
        <v>1203</v>
      </c>
      <c r="W78" s="52" t="s">
        <v>1203</v>
      </c>
      <c r="X78" s="52" t="s">
        <v>1203</v>
      </c>
      <c r="Y78" s="52" t="s">
        <v>43</v>
      </c>
      <c r="Z78" s="52" t="s">
        <v>43</v>
      </c>
      <c r="AA78" s="52" t="s">
        <v>1937</v>
      </c>
      <c r="AB78" s="52" t="s">
        <v>1938</v>
      </c>
      <c r="AC78" s="52" t="s">
        <v>1939</v>
      </c>
      <c r="AD78" s="52" t="s">
        <v>1940</v>
      </c>
      <c r="AE78" s="52" t="s">
        <v>1941</v>
      </c>
      <c r="AF78" s="52" t="s">
        <v>1942</v>
      </c>
      <c r="AG78" s="52" t="s">
        <v>1943</v>
      </c>
      <c r="AH78" s="52" t="s">
        <v>1944</v>
      </c>
      <c r="AI78" s="52" t="s">
        <v>1945</v>
      </c>
      <c r="AJ78" s="52" t="s">
        <v>1946</v>
      </c>
      <c r="AK78" s="52" t="s">
        <v>1947</v>
      </c>
      <c r="AL78" s="52" t="s">
        <v>1948</v>
      </c>
      <c r="AM78" s="52" t="s">
        <v>1936</v>
      </c>
      <c r="AN78" s="52" t="s">
        <v>1924</v>
      </c>
      <c r="AO78" s="52" t="s">
        <v>1949</v>
      </c>
      <c r="AP78" s="52" t="s">
        <v>1950</v>
      </c>
      <c r="AQ78" s="52" t="s">
        <v>1951</v>
      </c>
      <c r="AR78" s="52" t="s">
        <v>411</v>
      </c>
    </row>
    <row r="79" spans="1:45" ht="15.75" customHeight="1">
      <c r="A79" s="16">
        <v>16</v>
      </c>
      <c r="B79" s="17" t="s">
        <v>1952</v>
      </c>
      <c r="C79" s="58" t="s">
        <v>1953</v>
      </c>
      <c r="D79" s="16">
        <v>2020</v>
      </c>
      <c r="E79" s="48" t="s">
        <v>1954</v>
      </c>
      <c r="F79" s="59" t="s">
        <v>1955</v>
      </c>
      <c r="G79" s="55">
        <v>0.51</v>
      </c>
      <c r="H79" s="55">
        <v>0.53349999999999997</v>
      </c>
      <c r="I79" s="55">
        <v>9.1399999999999995E-2</v>
      </c>
      <c r="J79" s="56">
        <v>30158436</v>
      </c>
      <c r="K79" s="56">
        <v>1089791663153</v>
      </c>
      <c r="L79" s="56">
        <v>1089791663153</v>
      </c>
      <c r="M79" s="56">
        <v>949000751263</v>
      </c>
      <c r="N79" s="56">
        <v>10892035973</v>
      </c>
      <c r="O79" s="56">
        <v>61052889099</v>
      </c>
      <c r="P79" s="56">
        <v>24906321049</v>
      </c>
      <c r="Q79" s="54" t="s">
        <v>1956</v>
      </c>
      <c r="R79" s="60">
        <v>183261693224</v>
      </c>
      <c r="S79" s="56">
        <v>50761567626</v>
      </c>
      <c r="T79" s="54" t="s">
        <v>1956</v>
      </c>
      <c r="U79" s="54" t="s">
        <v>1956</v>
      </c>
      <c r="V79" s="56">
        <v>733880792637</v>
      </c>
      <c r="W79" s="56">
        <v>912711696736</v>
      </c>
      <c r="X79" s="54" t="s">
        <v>1956</v>
      </c>
      <c r="Y79" s="54" t="s">
        <v>43</v>
      </c>
      <c r="Z79" s="54" t="s">
        <v>43</v>
      </c>
      <c r="AA79" s="56">
        <v>100478649081</v>
      </c>
      <c r="AB79" s="56">
        <v>637359932637</v>
      </c>
      <c r="AC79" s="54" t="s">
        <v>1957</v>
      </c>
      <c r="AD79" s="56">
        <v>311640818626</v>
      </c>
      <c r="AE79" s="56">
        <v>102093686035</v>
      </c>
      <c r="AF79" s="56">
        <v>-56681809327</v>
      </c>
      <c r="AG79" s="56">
        <v>-81360885263</v>
      </c>
      <c r="AH79" s="56">
        <v>57615894140</v>
      </c>
      <c r="AI79" s="56">
        <v>30810548252</v>
      </c>
      <c r="AJ79" s="56">
        <v>395830411621</v>
      </c>
      <c r="AK79" s="56">
        <v>243612179870</v>
      </c>
      <c r="AL79" s="55">
        <v>0.1452</v>
      </c>
      <c r="AM79" s="56">
        <v>5512651000</v>
      </c>
      <c r="AN79" s="56">
        <v>-103086933530</v>
      </c>
      <c r="AO79" s="56">
        <v>2684</v>
      </c>
      <c r="AP79" s="55">
        <v>301</v>
      </c>
      <c r="AQ79" s="56">
        <v>326195330062</v>
      </c>
      <c r="AR79" s="55">
        <v>13</v>
      </c>
      <c r="AS79" s="87"/>
    </row>
    <row r="80" spans="1:45" ht="15.75" customHeight="1">
      <c r="A80" s="16">
        <v>16</v>
      </c>
      <c r="B80" s="17" t="s">
        <v>1952</v>
      </c>
      <c r="C80" s="58" t="s">
        <v>1953</v>
      </c>
      <c r="D80" s="16">
        <v>2021</v>
      </c>
      <c r="E80" s="48" t="s">
        <v>1954</v>
      </c>
      <c r="F80" s="59" t="s">
        <v>1312</v>
      </c>
      <c r="G80" s="55">
        <v>0.51</v>
      </c>
      <c r="H80" s="55">
        <v>0.54010000000000002</v>
      </c>
      <c r="I80" s="55">
        <v>3.8899999999999997E-2</v>
      </c>
      <c r="J80" s="56">
        <v>30158436</v>
      </c>
      <c r="K80" s="56">
        <v>1185725670210</v>
      </c>
      <c r="L80" s="56">
        <v>1185725670210</v>
      </c>
      <c r="M80" s="56">
        <v>887247802582</v>
      </c>
      <c r="N80" s="56">
        <v>25203609627</v>
      </c>
      <c r="O80" s="56">
        <v>61761400289</v>
      </c>
      <c r="P80" s="56">
        <v>24169288816</v>
      </c>
      <c r="Q80" s="54" t="s">
        <v>1956</v>
      </c>
      <c r="R80" s="60">
        <v>176547333308</v>
      </c>
      <c r="S80" s="56">
        <v>56829815068</v>
      </c>
      <c r="T80" s="54" t="s">
        <v>1956</v>
      </c>
      <c r="U80" s="54" t="s">
        <v>1956</v>
      </c>
      <c r="V80" s="56">
        <v>825279892101</v>
      </c>
      <c r="W80" s="56">
        <v>982133344119</v>
      </c>
      <c r="X80" s="54" t="s">
        <v>1956</v>
      </c>
      <c r="Y80" s="54" t="s">
        <v>43</v>
      </c>
      <c r="Z80" s="54" t="s">
        <v>43</v>
      </c>
      <c r="AA80" s="56">
        <v>113470511353</v>
      </c>
      <c r="AB80" s="56">
        <v>578992256380</v>
      </c>
      <c r="AC80" s="54" t="s">
        <v>1958</v>
      </c>
      <c r="AD80" s="56">
        <v>308255546202</v>
      </c>
      <c r="AE80" s="56">
        <v>-19307465800</v>
      </c>
      <c r="AF80" s="56">
        <v>-1537078636</v>
      </c>
      <c r="AG80" s="56">
        <v>74739689167</v>
      </c>
      <c r="AH80" s="56">
        <v>31210708945</v>
      </c>
      <c r="AI80" s="56">
        <v>23560836252</v>
      </c>
      <c r="AJ80" s="56">
        <v>388359492010</v>
      </c>
      <c r="AK80" s="56">
        <v>246926619446</v>
      </c>
      <c r="AL80" s="55">
        <v>8.7999999999999995E-2</v>
      </c>
      <c r="AM80" s="56">
        <v>7113032145</v>
      </c>
      <c r="AN80" s="56">
        <v>-74587675000</v>
      </c>
      <c r="AO80" s="56">
        <v>3094</v>
      </c>
      <c r="AP80" s="55">
        <v>304</v>
      </c>
      <c r="AQ80" s="56">
        <v>291963594583</v>
      </c>
      <c r="AR80" s="55">
        <v>14</v>
      </c>
      <c r="AS80" s="86"/>
    </row>
    <row r="81" spans="1:46" ht="15.75" customHeight="1">
      <c r="A81" s="16">
        <v>16</v>
      </c>
      <c r="B81" s="17" t="s">
        <v>1952</v>
      </c>
      <c r="C81" s="58" t="s">
        <v>1953</v>
      </c>
      <c r="D81" s="16">
        <v>2022</v>
      </c>
      <c r="E81" s="48" t="s">
        <v>1954</v>
      </c>
      <c r="F81" s="59" t="s">
        <v>1959</v>
      </c>
      <c r="G81" s="55">
        <v>0.51</v>
      </c>
      <c r="H81" s="55">
        <v>0.57799999999999996</v>
      </c>
      <c r="I81" s="55">
        <v>3.8899999999999997E-2</v>
      </c>
      <c r="J81" s="56">
        <v>30158436</v>
      </c>
      <c r="K81" s="56">
        <v>1355069962137</v>
      </c>
      <c r="L81" s="56">
        <v>1355069962137</v>
      </c>
      <c r="M81" s="56">
        <v>816910328117</v>
      </c>
      <c r="N81" s="56">
        <v>33119763998</v>
      </c>
      <c r="O81" s="56">
        <v>67756292658</v>
      </c>
      <c r="P81" s="56">
        <v>23463616156</v>
      </c>
      <c r="Q81" s="54" t="s">
        <v>1956</v>
      </c>
      <c r="R81" s="60">
        <v>187791445447</v>
      </c>
      <c r="S81" s="56">
        <v>70655452359</v>
      </c>
      <c r="T81" s="54" t="s">
        <v>1956</v>
      </c>
      <c r="U81" s="54" t="s">
        <v>1956</v>
      </c>
      <c r="V81" s="56">
        <v>943418874607</v>
      </c>
      <c r="W81" s="56">
        <v>1124338723325</v>
      </c>
      <c r="X81" s="54" t="s">
        <v>1956</v>
      </c>
      <c r="Y81" s="54" t="s">
        <v>43</v>
      </c>
      <c r="Z81" s="54" t="s">
        <v>43</v>
      </c>
      <c r="AA81" s="56">
        <v>124846334304</v>
      </c>
      <c r="AB81" s="56">
        <v>555587037685</v>
      </c>
      <c r="AC81" s="54" t="s">
        <v>1960</v>
      </c>
      <c r="AD81" s="56">
        <v>261323290432</v>
      </c>
      <c r="AE81" s="56">
        <v>152885987408</v>
      </c>
      <c r="AF81" s="56">
        <v>-9441084363</v>
      </c>
      <c r="AG81" s="56">
        <v>38986871246</v>
      </c>
      <c r="AH81" s="56">
        <v>91143459284</v>
      </c>
      <c r="AI81" s="56">
        <v>16311124252</v>
      </c>
      <c r="AJ81" s="56">
        <v>369226959448</v>
      </c>
      <c r="AK81" s="56">
        <v>200783539676</v>
      </c>
      <c r="AL81" s="55">
        <v>0.14280000000000001</v>
      </c>
      <c r="AM81" s="56">
        <v>9348121893</v>
      </c>
      <c r="AN81" s="56">
        <v>-131940153400</v>
      </c>
      <c r="AO81" s="56">
        <v>3418</v>
      </c>
      <c r="AP81" s="55">
        <v>295</v>
      </c>
      <c r="AQ81" s="56">
        <v>260132292020</v>
      </c>
      <c r="AR81" s="55">
        <v>15</v>
      </c>
      <c r="AS81" s="86"/>
    </row>
    <row r="82" spans="1:46" ht="15.75" customHeight="1">
      <c r="A82" s="16">
        <v>16</v>
      </c>
      <c r="B82" s="17" t="s">
        <v>1952</v>
      </c>
      <c r="C82" s="58" t="s">
        <v>1953</v>
      </c>
      <c r="D82" s="16">
        <v>2023</v>
      </c>
      <c r="E82" s="48" t="s">
        <v>1954</v>
      </c>
      <c r="F82" s="59" t="s">
        <v>1959</v>
      </c>
      <c r="G82" s="55">
        <v>0.51</v>
      </c>
      <c r="H82" s="55">
        <v>0.56889999999999996</v>
      </c>
      <c r="I82" s="55">
        <v>6.1400000000000003E-2</v>
      </c>
      <c r="J82" s="56">
        <v>30158436</v>
      </c>
      <c r="K82" s="56">
        <v>1529415505455</v>
      </c>
      <c r="L82" s="56">
        <v>1529415505455</v>
      </c>
      <c r="M82" s="56">
        <v>940482304369</v>
      </c>
      <c r="N82" s="56">
        <v>35177208068</v>
      </c>
      <c r="O82" s="56">
        <v>70174311898</v>
      </c>
      <c r="P82" s="56">
        <v>22869018766</v>
      </c>
      <c r="Q82" s="54" t="s">
        <v>1956</v>
      </c>
      <c r="R82" s="60">
        <v>195878000006</v>
      </c>
      <c r="S82" s="56">
        <v>69927781259</v>
      </c>
      <c r="T82" s="54" t="s">
        <v>1956</v>
      </c>
      <c r="U82" s="54" t="s">
        <v>1956</v>
      </c>
      <c r="V82" s="56">
        <v>1140507365574</v>
      </c>
      <c r="W82" s="56">
        <v>1290169467939</v>
      </c>
      <c r="X82" s="54" t="s">
        <v>1956</v>
      </c>
      <c r="Y82" s="54" t="s">
        <v>43</v>
      </c>
      <c r="Z82" s="54" t="s">
        <v>43</v>
      </c>
      <c r="AA82" s="56">
        <v>134421318574</v>
      </c>
      <c r="AB82" s="56">
        <v>598861095105</v>
      </c>
      <c r="AC82" s="54" t="s">
        <v>1961</v>
      </c>
      <c r="AD82" s="56">
        <v>341621209264</v>
      </c>
      <c r="AE82" s="56">
        <v>98609187670</v>
      </c>
      <c r="AF82" s="56">
        <v>-16248736230</v>
      </c>
      <c r="AG82" s="56">
        <v>-45355083888</v>
      </c>
      <c r="AH82" s="56">
        <v>71071180963</v>
      </c>
      <c r="AI82" s="56">
        <v>9061412252</v>
      </c>
      <c r="AJ82" s="56">
        <v>474241740927</v>
      </c>
      <c r="AK82" s="56">
        <v>288611976608</v>
      </c>
      <c r="AL82" s="55">
        <v>0.12859999999999999</v>
      </c>
      <c r="AM82" s="56">
        <v>12916648263</v>
      </c>
      <c r="AN82" s="56">
        <v>-66076716821</v>
      </c>
      <c r="AO82" s="56">
        <v>3670</v>
      </c>
      <c r="AP82" s="55">
        <v>295</v>
      </c>
      <c r="AQ82" s="56">
        <v>250955322214</v>
      </c>
      <c r="AR82" s="55">
        <v>16</v>
      </c>
      <c r="AS82" s="86"/>
    </row>
    <row r="83" spans="1:46" ht="15.75" customHeight="1">
      <c r="A83" s="16">
        <v>16</v>
      </c>
      <c r="B83" s="17" t="s">
        <v>1952</v>
      </c>
      <c r="C83" s="58" t="s">
        <v>1953</v>
      </c>
      <c r="D83" s="16">
        <v>2024</v>
      </c>
      <c r="E83" s="48" t="s">
        <v>1954</v>
      </c>
      <c r="F83" s="59" t="s">
        <v>1959</v>
      </c>
      <c r="G83" s="55">
        <v>0.51</v>
      </c>
      <c r="H83" s="55">
        <v>0.56889999999999996</v>
      </c>
      <c r="I83" s="55">
        <v>6.1400000000000003E-2</v>
      </c>
      <c r="J83" s="56">
        <v>30158436</v>
      </c>
      <c r="K83" s="56">
        <v>1631183620056</v>
      </c>
      <c r="L83" s="56">
        <v>1631183620056</v>
      </c>
      <c r="M83" s="56">
        <v>1110636381471</v>
      </c>
      <c r="N83" s="56">
        <v>30590906571</v>
      </c>
      <c r="O83" s="56">
        <v>73599936434</v>
      </c>
      <c r="P83" s="56">
        <v>22123346110</v>
      </c>
      <c r="Q83" s="54" t="s">
        <v>1956</v>
      </c>
      <c r="R83" s="60">
        <v>207148118464</v>
      </c>
      <c r="S83" s="54" t="s">
        <v>1956</v>
      </c>
      <c r="T83" s="54" t="s">
        <v>1956</v>
      </c>
      <c r="U83" s="54" t="s">
        <v>1956</v>
      </c>
      <c r="V83" s="54" t="s">
        <v>1956</v>
      </c>
      <c r="W83" s="56">
        <v>1382737677902</v>
      </c>
      <c r="X83" s="54" t="s">
        <v>1956</v>
      </c>
      <c r="Y83" s="54" t="s">
        <v>43</v>
      </c>
      <c r="Z83" s="54" t="s">
        <v>43</v>
      </c>
      <c r="AA83" s="56">
        <v>146227998803</v>
      </c>
      <c r="AB83" s="56">
        <v>650653139545</v>
      </c>
      <c r="AC83" s="54" t="s">
        <v>1962</v>
      </c>
      <c r="AD83" s="56">
        <v>459983241926</v>
      </c>
      <c r="AE83" s="56">
        <v>39210935934</v>
      </c>
      <c r="AF83" s="56">
        <v>-7388415498</v>
      </c>
      <c r="AG83" s="56">
        <v>-2067795965</v>
      </c>
      <c r="AH83" s="56">
        <v>55519125648</v>
      </c>
      <c r="AI83" s="56">
        <v>1811700252</v>
      </c>
      <c r="AJ83" s="56">
        <v>663244375700</v>
      </c>
      <c r="AK83" s="56">
        <v>422039915170</v>
      </c>
      <c r="AL83" s="55">
        <v>6.6500000000000004E-2</v>
      </c>
      <c r="AM83" s="56">
        <v>13096217340</v>
      </c>
      <c r="AN83" s="56">
        <v>-70445564305</v>
      </c>
      <c r="AO83" s="56">
        <v>4067</v>
      </c>
      <c r="AP83" s="55">
        <v>287</v>
      </c>
      <c r="AQ83" s="56">
        <v>225303166653</v>
      </c>
      <c r="AR83" s="55">
        <v>17</v>
      </c>
      <c r="AS83" s="86"/>
    </row>
    <row r="84" spans="1:46" ht="15.75" customHeight="1">
      <c r="A84" s="9" t="s">
        <v>411</v>
      </c>
      <c r="B84" s="45" t="s">
        <v>1963</v>
      </c>
      <c r="C84" s="58" t="s">
        <v>1964</v>
      </c>
      <c r="D84" s="9" t="s">
        <v>46</v>
      </c>
      <c r="E84" s="13" t="s">
        <v>1965</v>
      </c>
      <c r="F84" s="61">
        <v>6.4999999999999997E-3</v>
      </c>
      <c r="G84" s="61">
        <v>0.51319999999999999</v>
      </c>
      <c r="H84" s="61">
        <v>0.64259999999999995</v>
      </c>
      <c r="I84" s="61">
        <v>0</v>
      </c>
      <c r="J84" s="62" t="s">
        <v>1966</v>
      </c>
      <c r="K84" s="62" t="s">
        <v>1967</v>
      </c>
      <c r="L84" s="62" t="s">
        <v>1967</v>
      </c>
      <c r="M84" s="62" t="s">
        <v>1968</v>
      </c>
      <c r="N84" s="62" t="s">
        <v>1969</v>
      </c>
      <c r="O84" s="62" t="s">
        <v>1970</v>
      </c>
      <c r="P84" s="62" t="s">
        <v>1971</v>
      </c>
      <c r="Q84" s="62" t="s">
        <v>1956</v>
      </c>
      <c r="R84" s="52" t="s">
        <v>1972</v>
      </c>
      <c r="S84" s="62" t="s">
        <v>1956</v>
      </c>
      <c r="T84" s="62" t="s">
        <v>1956</v>
      </c>
      <c r="U84" s="62" t="s">
        <v>1956</v>
      </c>
      <c r="V84" s="62" t="s">
        <v>1956</v>
      </c>
      <c r="W84" s="62" t="s">
        <v>1973</v>
      </c>
      <c r="X84" s="52" t="s">
        <v>49</v>
      </c>
      <c r="Y84" s="52" t="s">
        <v>43</v>
      </c>
      <c r="Z84" s="52" t="s">
        <v>43</v>
      </c>
      <c r="AA84" s="62" t="s">
        <v>1974</v>
      </c>
      <c r="AB84" s="62" t="s">
        <v>1975</v>
      </c>
      <c r="AC84" s="62" t="s">
        <v>1976</v>
      </c>
      <c r="AD84" s="62" t="s">
        <v>1977</v>
      </c>
      <c r="AE84" s="62" t="s">
        <v>1978</v>
      </c>
      <c r="AF84" s="63">
        <v>-48591311051</v>
      </c>
      <c r="AG84" s="63">
        <v>-45811952420</v>
      </c>
      <c r="AH84" s="62" t="s">
        <v>1979</v>
      </c>
      <c r="AI84" s="62" t="s">
        <v>1980</v>
      </c>
      <c r="AJ84" s="62" t="s">
        <v>1981</v>
      </c>
      <c r="AK84" s="62" t="s">
        <v>1982</v>
      </c>
      <c r="AL84" s="61">
        <v>8.9499999999999996E-2</v>
      </c>
      <c r="AM84" s="62" t="s">
        <v>49</v>
      </c>
      <c r="AN84" s="52" t="s">
        <v>1983</v>
      </c>
      <c r="AO84" s="62" t="s">
        <v>1984</v>
      </c>
      <c r="AP84" s="62" t="s">
        <v>1985</v>
      </c>
      <c r="AQ84" s="62" t="s">
        <v>1986</v>
      </c>
      <c r="AR84" s="62" t="s">
        <v>251</v>
      </c>
      <c r="AS84" s="86"/>
      <c r="AT84" s="87"/>
    </row>
    <row r="85" spans="1:46" ht="15.75" customHeight="1">
      <c r="A85" s="9" t="s">
        <v>411</v>
      </c>
      <c r="B85" s="45" t="s">
        <v>1963</v>
      </c>
      <c r="C85" s="58" t="s">
        <v>1964</v>
      </c>
      <c r="D85" s="9" t="s">
        <v>82</v>
      </c>
      <c r="E85" s="13" t="s">
        <v>1965</v>
      </c>
      <c r="F85" s="61">
        <v>5.1999999999999998E-3</v>
      </c>
      <c r="G85" s="61">
        <v>0.51319999999999999</v>
      </c>
      <c r="H85" s="61">
        <v>0.64259999999999995</v>
      </c>
      <c r="I85" s="61">
        <v>0</v>
      </c>
      <c r="J85" s="62" t="s">
        <v>1966</v>
      </c>
      <c r="K85" s="62" t="s">
        <v>1987</v>
      </c>
      <c r="L85" s="62" t="s">
        <v>1987</v>
      </c>
      <c r="M85" s="62" t="s">
        <v>1988</v>
      </c>
      <c r="N85" s="62" t="s">
        <v>1989</v>
      </c>
      <c r="O85" s="62" t="s">
        <v>1990</v>
      </c>
      <c r="P85" s="62" t="s">
        <v>1971</v>
      </c>
      <c r="Q85" s="62" t="s">
        <v>1956</v>
      </c>
      <c r="R85" s="52" t="s">
        <v>1991</v>
      </c>
      <c r="S85" s="62" t="s">
        <v>1992</v>
      </c>
      <c r="T85" s="62" t="s">
        <v>1956</v>
      </c>
      <c r="U85" s="62" t="s">
        <v>1956</v>
      </c>
      <c r="V85" s="62" t="s">
        <v>1993</v>
      </c>
      <c r="W85" s="62" t="s">
        <v>1994</v>
      </c>
      <c r="X85" s="52" t="s">
        <v>49</v>
      </c>
      <c r="Y85" s="52" t="s">
        <v>43</v>
      </c>
      <c r="Z85" s="52" t="s">
        <v>43</v>
      </c>
      <c r="AA85" s="62" t="s">
        <v>1995</v>
      </c>
      <c r="AB85" s="62" t="s">
        <v>1996</v>
      </c>
      <c r="AC85" s="62" t="s">
        <v>1997</v>
      </c>
      <c r="AD85" s="62" t="s">
        <v>1998</v>
      </c>
      <c r="AE85" s="62" t="s">
        <v>1999</v>
      </c>
      <c r="AF85" s="63">
        <v>-66478346837</v>
      </c>
      <c r="AG85" s="63">
        <v>-118035524811</v>
      </c>
      <c r="AH85" s="62" t="s">
        <v>2000</v>
      </c>
      <c r="AI85" s="62" t="s">
        <v>2001</v>
      </c>
      <c r="AJ85" s="62" t="s">
        <v>2002</v>
      </c>
      <c r="AK85" s="62" t="s">
        <v>2003</v>
      </c>
      <c r="AL85" s="61">
        <v>0.16300000000000001</v>
      </c>
      <c r="AM85" s="62" t="s">
        <v>49</v>
      </c>
      <c r="AN85" s="52" t="s">
        <v>2004</v>
      </c>
      <c r="AO85" s="62" t="s">
        <v>2005</v>
      </c>
      <c r="AP85" s="62" t="s">
        <v>2006</v>
      </c>
      <c r="AQ85" s="62" t="s">
        <v>2007</v>
      </c>
      <c r="AR85" s="62" t="s">
        <v>281</v>
      </c>
      <c r="AS85" s="86"/>
      <c r="AT85" s="86"/>
    </row>
    <row r="86" spans="1:46" ht="15.75" customHeight="1">
      <c r="A86" s="9" t="s">
        <v>411</v>
      </c>
      <c r="B86" s="45" t="s">
        <v>1963</v>
      </c>
      <c r="C86" s="58" t="s">
        <v>1964</v>
      </c>
      <c r="D86" s="9" t="s">
        <v>115</v>
      </c>
      <c r="E86" s="13" t="s">
        <v>1965</v>
      </c>
      <c r="F86" s="61">
        <v>4.8000000000000001E-4</v>
      </c>
      <c r="G86" s="61">
        <v>0.51319999999999999</v>
      </c>
      <c r="H86" s="62" t="s">
        <v>1956</v>
      </c>
      <c r="I86" s="62" t="s">
        <v>1956</v>
      </c>
      <c r="J86" s="62" t="s">
        <v>1966</v>
      </c>
      <c r="K86" s="62" t="s">
        <v>2008</v>
      </c>
      <c r="L86" s="62" t="s">
        <v>2008</v>
      </c>
      <c r="M86" s="62" t="s">
        <v>2009</v>
      </c>
      <c r="N86" s="62" t="s">
        <v>2010</v>
      </c>
      <c r="O86" s="62" t="s">
        <v>2011</v>
      </c>
      <c r="P86" s="62" t="s">
        <v>2012</v>
      </c>
      <c r="Q86" s="62" t="s">
        <v>1956</v>
      </c>
      <c r="R86" s="52" t="s">
        <v>2013</v>
      </c>
      <c r="S86" s="62" t="s">
        <v>1992</v>
      </c>
      <c r="T86" s="62" t="s">
        <v>1956</v>
      </c>
      <c r="U86" s="62" t="s">
        <v>1956</v>
      </c>
      <c r="V86" s="62" t="s">
        <v>1993</v>
      </c>
      <c r="W86" s="62" t="s">
        <v>2014</v>
      </c>
      <c r="X86" s="52" t="s">
        <v>49</v>
      </c>
      <c r="Y86" s="52" t="s">
        <v>43</v>
      </c>
      <c r="Z86" s="52" t="s">
        <v>43</v>
      </c>
      <c r="AA86" s="62" t="s">
        <v>2015</v>
      </c>
      <c r="AB86" s="62" t="s">
        <v>2016</v>
      </c>
      <c r="AC86" s="62" t="s">
        <v>2017</v>
      </c>
      <c r="AD86" s="62" t="s">
        <v>2018</v>
      </c>
      <c r="AE86" s="62" t="s">
        <v>2019</v>
      </c>
      <c r="AF86" s="63">
        <v>-145911368540</v>
      </c>
      <c r="AG86" s="63">
        <v>-91098546479</v>
      </c>
      <c r="AH86" s="62" t="s">
        <v>2020</v>
      </c>
      <c r="AI86" s="62" t="s">
        <v>2021</v>
      </c>
      <c r="AJ86" s="62" t="s">
        <v>2022</v>
      </c>
      <c r="AK86" s="62" t="s">
        <v>2023</v>
      </c>
      <c r="AL86" s="61">
        <v>0.1</v>
      </c>
      <c r="AM86" s="62" t="s">
        <v>49</v>
      </c>
      <c r="AN86" s="52" t="s">
        <v>2024</v>
      </c>
      <c r="AO86" s="62" t="s">
        <v>2025</v>
      </c>
      <c r="AP86" s="62" t="s">
        <v>2026</v>
      </c>
      <c r="AQ86" s="62" t="s">
        <v>2027</v>
      </c>
      <c r="AR86" s="62" t="s">
        <v>311</v>
      </c>
      <c r="AS86" s="86"/>
      <c r="AT86" s="86"/>
    </row>
    <row r="87" spans="1:46" ht="15.75" customHeight="1">
      <c r="A87" s="9" t="s">
        <v>411</v>
      </c>
      <c r="B87" s="45" t="s">
        <v>1963</v>
      </c>
      <c r="C87" s="58" t="s">
        <v>1964</v>
      </c>
      <c r="D87" s="9" t="s">
        <v>148</v>
      </c>
      <c r="E87" s="13" t="s">
        <v>1965</v>
      </c>
      <c r="F87" s="61">
        <v>4.8000000000000001E-4</v>
      </c>
      <c r="G87" s="61">
        <v>0.51319999999999999</v>
      </c>
      <c r="H87" s="62" t="s">
        <v>1956</v>
      </c>
      <c r="I87" s="62" t="s">
        <v>1956</v>
      </c>
      <c r="J87" s="62" t="s">
        <v>1966</v>
      </c>
      <c r="K87" s="62" t="s">
        <v>2028</v>
      </c>
      <c r="L87" s="62" t="s">
        <v>2028</v>
      </c>
      <c r="M87" s="62" t="s">
        <v>2029</v>
      </c>
      <c r="N87" s="62" t="s">
        <v>2030</v>
      </c>
      <c r="O87" s="62" t="s">
        <v>2031</v>
      </c>
      <c r="P87" s="62" t="s">
        <v>2032</v>
      </c>
      <c r="Q87" s="62" t="s">
        <v>1956</v>
      </c>
      <c r="R87" s="52" t="s">
        <v>2033</v>
      </c>
      <c r="S87" s="62" t="s">
        <v>2034</v>
      </c>
      <c r="T87" s="62" t="s">
        <v>1956</v>
      </c>
      <c r="U87" s="62" t="s">
        <v>1956</v>
      </c>
      <c r="V87" s="62" t="s">
        <v>2035</v>
      </c>
      <c r="W87" s="62" t="s">
        <v>2036</v>
      </c>
      <c r="X87" s="52" t="s">
        <v>49</v>
      </c>
      <c r="Y87" s="52" t="s">
        <v>43</v>
      </c>
      <c r="Z87" s="52" t="s">
        <v>43</v>
      </c>
      <c r="AA87" s="62" t="s">
        <v>2037</v>
      </c>
      <c r="AB87" s="62" t="s">
        <v>2038</v>
      </c>
      <c r="AC87" s="62" t="s">
        <v>2039</v>
      </c>
      <c r="AD87" s="62" t="s">
        <v>2040</v>
      </c>
      <c r="AE87" s="62" t="s">
        <v>2041</v>
      </c>
      <c r="AF87" s="63">
        <v>-9917153415</v>
      </c>
      <c r="AG87" s="63">
        <v>-2714717667</v>
      </c>
      <c r="AH87" s="62" t="s">
        <v>2042</v>
      </c>
      <c r="AI87" s="62" t="s">
        <v>2043</v>
      </c>
      <c r="AJ87" s="62" t="s">
        <v>2044</v>
      </c>
      <c r="AK87" s="62" t="s">
        <v>2045</v>
      </c>
      <c r="AL87" s="61">
        <v>-8.7999999999999995E-2</v>
      </c>
      <c r="AM87" s="62" t="s">
        <v>49</v>
      </c>
      <c r="AN87" s="52" t="s">
        <v>2046</v>
      </c>
      <c r="AO87" s="62" t="s">
        <v>2047</v>
      </c>
      <c r="AP87" s="62" t="s">
        <v>2048</v>
      </c>
      <c r="AQ87" s="62" t="s">
        <v>2049</v>
      </c>
      <c r="AR87" s="62" t="s">
        <v>344</v>
      </c>
      <c r="AS87" s="86"/>
      <c r="AT87" s="86"/>
    </row>
    <row r="88" spans="1:46" ht="15.75" customHeight="1">
      <c r="A88" s="9" t="s">
        <v>411</v>
      </c>
      <c r="B88" s="45" t="s">
        <v>1963</v>
      </c>
      <c r="C88" s="58" t="s">
        <v>1964</v>
      </c>
      <c r="D88" s="9" t="s">
        <v>180</v>
      </c>
      <c r="E88" s="13" t="s">
        <v>1965</v>
      </c>
      <c r="F88" s="61">
        <v>4.4999999999999999E-4</v>
      </c>
      <c r="G88" s="61">
        <v>0.51319999999999999</v>
      </c>
      <c r="H88" s="61">
        <v>0.5907</v>
      </c>
      <c r="I88" s="62" t="s">
        <v>1956</v>
      </c>
      <c r="J88" s="62" t="s">
        <v>2050</v>
      </c>
      <c r="K88" s="62" t="s">
        <v>2051</v>
      </c>
      <c r="L88" s="62" t="s">
        <v>2051</v>
      </c>
      <c r="M88" s="62" t="s">
        <v>2052</v>
      </c>
      <c r="N88" s="62" t="s">
        <v>2053</v>
      </c>
      <c r="O88" s="62" t="s">
        <v>2054</v>
      </c>
      <c r="P88" s="62" t="s">
        <v>49</v>
      </c>
      <c r="Q88" s="62" t="s">
        <v>1956</v>
      </c>
      <c r="R88" s="52" t="s">
        <v>2055</v>
      </c>
      <c r="S88" s="62" t="s">
        <v>2056</v>
      </c>
      <c r="T88" s="62" t="s">
        <v>1956</v>
      </c>
      <c r="U88" s="62" t="s">
        <v>1956</v>
      </c>
      <c r="V88" s="62" t="s">
        <v>2057</v>
      </c>
      <c r="W88" s="62" t="s">
        <v>2058</v>
      </c>
      <c r="X88" s="52" t="s">
        <v>49</v>
      </c>
      <c r="Y88" s="52" t="s">
        <v>43</v>
      </c>
      <c r="Z88" s="52" t="s">
        <v>43</v>
      </c>
      <c r="AA88" s="62" t="s">
        <v>2059</v>
      </c>
      <c r="AB88" s="62" t="s">
        <v>2060</v>
      </c>
      <c r="AC88" s="62" t="s">
        <v>2061</v>
      </c>
      <c r="AD88" s="62" t="s">
        <v>2062</v>
      </c>
      <c r="AE88" s="62" t="s">
        <v>2063</v>
      </c>
      <c r="AF88" s="63">
        <v>-49215353027</v>
      </c>
      <c r="AG88" s="63">
        <v>-53477449499</v>
      </c>
      <c r="AH88" s="62" t="s">
        <v>2064</v>
      </c>
      <c r="AI88" s="62" t="s">
        <v>2065</v>
      </c>
      <c r="AJ88" s="62" t="s">
        <v>2066</v>
      </c>
      <c r="AK88" s="62" t="s">
        <v>2067</v>
      </c>
      <c r="AL88" s="61">
        <v>-6.6000000000000003E-2</v>
      </c>
      <c r="AM88" s="62" t="s">
        <v>49</v>
      </c>
      <c r="AN88" s="52" t="s">
        <v>2068</v>
      </c>
      <c r="AO88" s="62" t="s">
        <v>2069</v>
      </c>
      <c r="AP88" s="62" t="s">
        <v>2070</v>
      </c>
      <c r="AQ88" s="62" t="s">
        <v>2071</v>
      </c>
      <c r="AR88" s="62" t="s">
        <v>376</v>
      </c>
      <c r="AS88" s="86"/>
      <c r="AT88" s="86"/>
    </row>
    <row r="89" spans="1:46" ht="15.75" customHeight="1">
      <c r="A89" s="16" t="s">
        <v>81</v>
      </c>
      <c r="B89" s="17" t="s">
        <v>2072</v>
      </c>
      <c r="C89" s="58" t="s">
        <v>2073</v>
      </c>
      <c r="D89" s="16" t="s">
        <v>46</v>
      </c>
      <c r="E89" s="40" t="s">
        <v>1954</v>
      </c>
      <c r="F89" s="54" t="s">
        <v>2074</v>
      </c>
      <c r="G89" s="54" t="s">
        <v>49</v>
      </c>
      <c r="H89" s="54" t="s">
        <v>2075</v>
      </c>
      <c r="I89" s="54" t="s">
        <v>849</v>
      </c>
      <c r="J89" s="54" t="s">
        <v>2076</v>
      </c>
      <c r="K89" s="54" t="s">
        <v>2077</v>
      </c>
      <c r="L89" s="54" t="s">
        <v>2078</v>
      </c>
      <c r="M89" s="54" t="s">
        <v>2079</v>
      </c>
      <c r="N89" s="54" t="s">
        <v>2080</v>
      </c>
      <c r="O89" s="54" t="s">
        <v>2081</v>
      </c>
      <c r="P89" s="54" t="s">
        <v>2082</v>
      </c>
      <c r="Q89" s="54" t="s">
        <v>1956</v>
      </c>
      <c r="R89" s="54" t="s">
        <v>2083</v>
      </c>
      <c r="S89" s="54" t="s">
        <v>2084</v>
      </c>
      <c r="T89" s="54" t="s">
        <v>2085</v>
      </c>
      <c r="U89" s="54" t="s">
        <v>2086</v>
      </c>
      <c r="V89" s="54" t="s">
        <v>2087</v>
      </c>
      <c r="W89" s="54" t="s">
        <v>2088</v>
      </c>
      <c r="X89" s="54" t="s">
        <v>1956</v>
      </c>
      <c r="Y89" s="54" t="s">
        <v>43</v>
      </c>
      <c r="Z89" s="54" t="s">
        <v>43</v>
      </c>
      <c r="AA89" s="54" t="s">
        <v>2089</v>
      </c>
      <c r="AB89" s="54" t="s">
        <v>2090</v>
      </c>
      <c r="AC89" s="54" t="s">
        <v>2091</v>
      </c>
      <c r="AD89" s="54" t="s">
        <v>2092</v>
      </c>
      <c r="AE89" s="54" t="s">
        <v>2093</v>
      </c>
      <c r="AF89" s="64">
        <v>-138608371602</v>
      </c>
      <c r="AG89" s="64">
        <v>-277612221488</v>
      </c>
      <c r="AH89" s="54" t="s">
        <v>2094</v>
      </c>
      <c r="AI89" s="54" t="s">
        <v>2095</v>
      </c>
      <c r="AJ89" s="54" t="s">
        <v>2096</v>
      </c>
      <c r="AK89" s="54" t="s">
        <v>2097</v>
      </c>
      <c r="AL89" s="65">
        <v>0.106</v>
      </c>
      <c r="AM89" s="54" t="s">
        <v>2098</v>
      </c>
      <c r="AN89" s="54" t="s">
        <v>2099</v>
      </c>
      <c r="AO89" s="54" t="s">
        <v>2100</v>
      </c>
      <c r="AP89" s="54" t="s">
        <v>2101</v>
      </c>
      <c r="AQ89" s="54" t="s">
        <v>2102</v>
      </c>
      <c r="AR89" s="54" t="s">
        <v>1376</v>
      </c>
      <c r="AS89" s="86"/>
      <c r="AT89" s="86"/>
    </row>
    <row r="90" spans="1:46" ht="15.75" customHeight="1">
      <c r="A90" s="16" t="s">
        <v>81</v>
      </c>
      <c r="B90" s="17" t="s">
        <v>2072</v>
      </c>
      <c r="C90" s="58" t="s">
        <v>2073</v>
      </c>
      <c r="D90" s="16" t="s">
        <v>82</v>
      </c>
      <c r="E90" s="40" t="s">
        <v>1954</v>
      </c>
      <c r="F90" s="54" t="s">
        <v>2074</v>
      </c>
      <c r="G90" s="54" t="s">
        <v>49</v>
      </c>
      <c r="H90" s="54" t="s">
        <v>2075</v>
      </c>
      <c r="I90" s="66">
        <v>1.1000000000000001E-3</v>
      </c>
      <c r="J90" s="54" t="s">
        <v>2076</v>
      </c>
      <c r="K90" s="54" t="s">
        <v>2103</v>
      </c>
      <c r="L90" s="54" t="s">
        <v>2103</v>
      </c>
      <c r="M90" s="54" t="s">
        <v>2104</v>
      </c>
      <c r="N90" s="54" t="s">
        <v>2105</v>
      </c>
      <c r="O90" s="54" t="s">
        <v>2106</v>
      </c>
      <c r="P90" s="54" t="s">
        <v>2107</v>
      </c>
      <c r="Q90" s="54" t="s">
        <v>1956</v>
      </c>
      <c r="R90" s="54" t="s">
        <v>2108</v>
      </c>
      <c r="S90" s="54" t="s">
        <v>2109</v>
      </c>
      <c r="T90" s="54" t="s">
        <v>2110</v>
      </c>
      <c r="U90" s="54" t="s">
        <v>2111</v>
      </c>
      <c r="V90" s="54" t="s">
        <v>2112</v>
      </c>
      <c r="W90" s="54" t="s">
        <v>2113</v>
      </c>
      <c r="X90" s="54" t="s">
        <v>1956</v>
      </c>
      <c r="Y90" s="54" t="s">
        <v>43</v>
      </c>
      <c r="Z90" s="54" t="s">
        <v>43</v>
      </c>
      <c r="AA90" s="54" t="s">
        <v>2114</v>
      </c>
      <c r="AB90" s="54" t="s">
        <v>2115</v>
      </c>
      <c r="AC90" s="54" t="s">
        <v>2116</v>
      </c>
      <c r="AD90" s="54" t="s">
        <v>2117</v>
      </c>
      <c r="AE90" s="54" t="s">
        <v>2118</v>
      </c>
      <c r="AF90" s="64">
        <v>-268054559458</v>
      </c>
      <c r="AG90" s="64">
        <v>-194865456722</v>
      </c>
      <c r="AH90" s="54" t="s">
        <v>2119</v>
      </c>
      <c r="AI90" s="54" t="s">
        <v>2120</v>
      </c>
      <c r="AJ90" s="54" t="s">
        <v>2121</v>
      </c>
      <c r="AK90" s="54" t="s">
        <v>2122</v>
      </c>
      <c r="AL90" s="65">
        <v>0.42059999999999997</v>
      </c>
      <c r="AM90" s="54" t="s">
        <v>2123</v>
      </c>
      <c r="AN90" s="54" t="s">
        <v>2124</v>
      </c>
      <c r="AO90" s="54" t="s">
        <v>2125</v>
      </c>
      <c r="AP90" s="54" t="s">
        <v>2126</v>
      </c>
      <c r="AQ90" s="54" t="s">
        <v>2127</v>
      </c>
      <c r="AR90" s="54" t="s">
        <v>1409</v>
      </c>
      <c r="AS90" s="86"/>
      <c r="AT90" s="86"/>
    </row>
    <row r="91" spans="1:46" ht="15.75" customHeight="1">
      <c r="A91" s="16" t="s">
        <v>81</v>
      </c>
      <c r="B91" s="17" t="s">
        <v>2072</v>
      </c>
      <c r="C91" s="58" t="s">
        <v>2073</v>
      </c>
      <c r="D91" s="16" t="s">
        <v>115</v>
      </c>
      <c r="E91" s="40" t="s">
        <v>1954</v>
      </c>
      <c r="F91" s="54" t="s">
        <v>2074</v>
      </c>
      <c r="G91" s="54" t="s">
        <v>49</v>
      </c>
      <c r="H91" s="54" t="s">
        <v>2075</v>
      </c>
      <c r="I91" s="66">
        <v>6.9999999999999999E-4</v>
      </c>
      <c r="J91" s="54" t="s">
        <v>2076</v>
      </c>
      <c r="K91" s="54" t="s">
        <v>2128</v>
      </c>
      <c r="L91" s="54" t="s">
        <v>2128</v>
      </c>
      <c r="M91" s="54" t="s">
        <v>2129</v>
      </c>
      <c r="N91" s="54" t="s">
        <v>2130</v>
      </c>
      <c r="O91" s="54" t="s">
        <v>2131</v>
      </c>
      <c r="P91" s="54" t="s">
        <v>2132</v>
      </c>
      <c r="Q91" s="54" t="s">
        <v>1956</v>
      </c>
      <c r="R91" s="54" t="s">
        <v>2133</v>
      </c>
      <c r="S91" s="54" t="s">
        <v>2134</v>
      </c>
      <c r="T91" s="54" t="s">
        <v>2135</v>
      </c>
      <c r="U91" s="54" t="s">
        <v>2136</v>
      </c>
      <c r="V91" s="54" t="s">
        <v>2137</v>
      </c>
      <c r="W91" s="54" t="s">
        <v>2138</v>
      </c>
      <c r="X91" s="54" t="s">
        <v>1956</v>
      </c>
      <c r="Y91" s="54" t="s">
        <v>43</v>
      </c>
      <c r="Z91" s="54" t="s">
        <v>43</v>
      </c>
      <c r="AA91" s="54" t="s">
        <v>2139</v>
      </c>
      <c r="AB91" s="54" t="s">
        <v>2140</v>
      </c>
      <c r="AC91" s="54" t="s">
        <v>2141</v>
      </c>
      <c r="AD91" s="54" t="s">
        <v>2142</v>
      </c>
      <c r="AE91" s="54" t="s">
        <v>2143</v>
      </c>
      <c r="AF91" s="64">
        <v>-261921972695</v>
      </c>
      <c r="AG91" s="64">
        <v>-151224711518</v>
      </c>
      <c r="AH91" s="54" t="s">
        <v>2144</v>
      </c>
      <c r="AI91" s="54" t="s">
        <v>2145</v>
      </c>
      <c r="AJ91" s="54" t="s">
        <v>2146</v>
      </c>
      <c r="AK91" s="54" t="s">
        <v>2147</v>
      </c>
      <c r="AL91" s="65">
        <v>-8.5699999999999998E-2</v>
      </c>
      <c r="AM91" s="54" t="s">
        <v>2148</v>
      </c>
      <c r="AN91" s="54" t="s">
        <v>2149</v>
      </c>
      <c r="AO91" s="54" t="s">
        <v>2150</v>
      </c>
      <c r="AP91" s="54" t="s">
        <v>2151</v>
      </c>
      <c r="AQ91" s="54" t="s">
        <v>2152</v>
      </c>
      <c r="AR91" s="54" t="s">
        <v>1442</v>
      </c>
      <c r="AS91" s="86"/>
      <c r="AT91" s="86"/>
    </row>
    <row r="92" spans="1:46" ht="15.75" customHeight="1">
      <c r="A92" s="16" t="s">
        <v>81</v>
      </c>
      <c r="B92" s="17" t="s">
        <v>2072</v>
      </c>
      <c r="C92" s="58" t="s">
        <v>2073</v>
      </c>
      <c r="D92" s="16" t="s">
        <v>148</v>
      </c>
      <c r="E92" s="40" t="s">
        <v>1954</v>
      </c>
      <c r="F92" s="54" t="s">
        <v>2074</v>
      </c>
      <c r="G92" s="54" t="s">
        <v>49</v>
      </c>
      <c r="H92" s="54" t="s">
        <v>2153</v>
      </c>
      <c r="I92" s="66">
        <v>0.30053999999999997</v>
      </c>
      <c r="J92" s="54" t="s">
        <v>2076</v>
      </c>
      <c r="K92" s="54" t="s">
        <v>2154</v>
      </c>
      <c r="L92" s="54" t="s">
        <v>2154</v>
      </c>
      <c r="M92" s="54" t="s">
        <v>2155</v>
      </c>
      <c r="N92" s="54" t="s">
        <v>2156</v>
      </c>
      <c r="O92" s="54" t="s">
        <v>2157</v>
      </c>
      <c r="P92" s="54" t="s">
        <v>2158</v>
      </c>
      <c r="Q92" s="54" t="s">
        <v>1956</v>
      </c>
      <c r="R92" s="54" t="s">
        <v>2159</v>
      </c>
      <c r="S92" s="54" t="s">
        <v>2160</v>
      </c>
      <c r="T92" s="54" t="s">
        <v>2161</v>
      </c>
      <c r="U92" s="54" t="s">
        <v>2162</v>
      </c>
      <c r="V92" s="54" t="s">
        <v>2163</v>
      </c>
      <c r="W92" s="54" t="s">
        <v>2164</v>
      </c>
      <c r="X92" s="54" t="s">
        <v>1956</v>
      </c>
      <c r="Y92" s="54" t="s">
        <v>43</v>
      </c>
      <c r="Z92" s="54" t="s">
        <v>43</v>
      </c>
      <c r="AA92" s="54" t="s">
        <v>2165</v>
      </c>
      <c r="AB92" s="54" t="s">
        <v>2166</v>
      </c>
      <c r="AC92" s="54" t="s">
        <v>2167</v>
      </c>
      <c r="AD92" s="54" t="s">
        <v>2168</v>
      </c>
      <c r="AE92" s="54" t="s">
        <v>2169</v>
      </c>
      <c r="AF92" s="64">
        <v>-62020538814</v>
      </c>
      <c r="AG92" s="64">
        <v>102871082375</v>
      </c>
      <c r="AH92" s="54" t="s">
        <v>2170</v>
      </c>
      <c r="AI92" s="54" t="s">
        <v>2171</v>
      </c>
      <c r="AJ92" s="54" t="s">
        <v>2172</v>
      </c>
      <c r="AK92" s="54" t="s">
        <v>2173</v>
      </c>
      <c r="AL92" s="65">
        <v>-0.3196</v>
      </c>
      <c r="AM92" s="54" t="s">
        <v>2174</v>
      </c>
      <c r="AN92" s="54" t="s">
        <v>2175</v>
      </c>
      <c r="AO92" s="54" t="s">
        <v>2176</v>
      </c>
      <c r="AP92" s="54" t="s">
        <v>2177</v>
      </c>
      <c r="AQ92" s="54" t="s">
        <v>2178</v>
      </c>
      <c r="AR92" s="54" t="s">
        <v>1475</v>
      </c>
      <c r="AS92" s="86"/>
      <c r="AT92" s="86"/>
    </row>
    <row r="93" spans="1:46" ht="15.75" customHeight="1">
      <c r="A93" s="16" t="s">
        <v>81</v>
      </c>
      <c r="B93" s="17" t="s">
        <v>2072</v>
      </c>
      <c r="C93" s="58" t="s">
        <v>2073</v>
      </c>
      <c r="D93" s="16" t="s">
        <v>180</v>
      </c>
      <c r="E93" s="40" t="s">
        <v>1954</v>
      </c>
      <c r="F93" s="54" t="s">
        <v>2074</v>
      </c>
      <c r="G93" s="54" t="s">
        <v>49</v>
      </c>
      <c r="H93" s="54" t="s">
        <v>2179</v>
      </c>
      <c r="I93" s="66">
        <v>6.9999999999999999E-4</v>
      </c>
      <c r="J93" s="54" t="s">
        <v>2076</v>
      </c>
      <c r="K93" s="54" t="s">
        <v>2180</v>
      </c>
      <c r="L93" s="54" t="s">
        <v>2180</v>
      </c>
      <c r="M93" s="54" t="s">
        <v>2181</v>
      </c>
      <c r="N93" s="54" t="s">
        <v>2182</v>
      </c>
      <c r="O93" s="54" t="s">
        <v>2183</v>
      </c>
      <c r="P93" s="54" t="s">
        <v>2184</v>
      </c>
      <c r="Q93" s="54" t="s">
        <v>1956</v>
      </c>
      <c r="R93" s="54" t="s">
        <v>2185</v>
      </c>
      <c r="S93" s="54" t="s">
        <v>2186</v>
      </c>
      <c r="T93" s="54" t="s">
        <v>2187</v>
      </c>
      <c r="U93" s="54" t="s">
        <v>2188</v>
      </c>
      <c r="V93" s="54" t="s">
        <v>2189</v>
      </c>
      <c r="W93" s="54" t="s">
        <v>2190</v>
      </c>
      <c r="X93" s="54" t="s">
        <v>1956</v>
      </c>
      <c r="Y93" s="54" t="s">
        <v>43</v>
      </c>
      <c r="Z93" s="54" t="s">
        <v>43</v>
      </c>
      <c r="AA93" s="54" t="s">
        <v>2191</v>
      </c>
      <c r="AB93" s="54" t="s">
        <v>2192</v>
      </c>
      <c r="AC93" s="54" t="s">
        <v>2193</v>
      </c>
      <c r="AD93" s="54" t="s">
        <v>2194</v>
      </c>
      <c r="AE93" s="54" t="s">
        <v>2195</v>
      </c>
      <c r="AF93" s="64">
        <v>-165445115689</v>
      </c>
      <c r="AG93" s="64">
        <v>-220195338803</v>
      </c>
      <c r="AH93" s="54" t="s">
        <v>2196</v>
      </c>
      <c r="AI93" s="54" t="s">
        <v>2197</v>
      </c>
      <c r="AJ93" s="54" t="s">
        <v>2198</v>
      </c>
      <c r="AK93" s="54" t="s">
        <v>2199</v>
      </c>
      <c r="AL93" s="65">
        <v>0.36680000000000001</v>
      </c>
      <c r="AM93" s="54" t="s">
        <v>2200</v>
      </c>
      <c r="AN93" s="54" t="s">
        <v>49</v>
      </c>
      <c r="AO93" s="54" t="s">
        <v>2201</v>
      </c>
      <c r="AP93" s="54" t="s">
        <v>2202</v>
      </c>
      <c r="AQ93" s="54" t="s">
        <v>2203</v>
      </c>
      <c r="AR93" s="54" t="s">
        <v>1505</v>
      </c>
      <c r="AS93" s="86"/>
      <c r="AT93" s="86"/>
    </row>
    <row r="94" spans="1:46" ht="15.75" customHeight="1">
      <c r="A94" s="9" t="s">
        <v>114</v>
      </c>
      <c r="B94" s="45" t="s">
        <v>2204</v>
      </c>
      <c r="C94" s="58" t="s">
        <v>2205</v>
      </c>
      <c r="D94" s="9" t="s">
        <v>46</v>
      </c>
      <c r="E94" s="13" t="s">
        <v>1965</v>
      </c>
      <c r="F94" s="67">
        <v>1E-4</v>
      </c>
      <c r="G94" s="61">
        <v>0.52939999999999998</v>
      </c>
      <c r="H94" s="61">
        <v>0.53129999999999999</v>
      </c>
      <c r="I94" s="61">
        <v>2.5000000000000001E-3</v>
      </c>
      <c r="J94" s="62" t="s">
        <v>2206</v>
      </c>
      <c r="K94" s="62" t="s">
        <v>2207</v>
      </c>
      <c r="L94" s="62" t="s">
        <v>2207</v>
      </c>
      <c r="M94" s="62" t="s">
        <v>2208</v>
      </c>
      <c r="N94" s="62" t="s">
        <v>49</v>
      </c>
      <c r="O94" s="62" t="s">
        <v>2209</v>
      </c>
      <c r="P94" s="62" t="s">
        <v>2210</v>
      </c>
      <c r="Q94" s="62" t="s">
        <v>1956</v>
      </c>
      <c r="R94" s="52" t="s">
        <v>2211</v>
      </c>
      <c r="S94" s="62" t="s">
        <v>2212</v>
      </c>
      <c r="T94" s="62" t="s">
        <v>1956</v>
      </c>
      <c r="U94" s="62" t="s">
        <v>1956</v>
      </c>
      <c r="V94" s="62" t="s">
        <v>2213</v>
      </c>
      <c r="W94" s="62" t="s">
        <v>2214</v>
      </c>
      <c r="X94" s="62" t="s">
        <v>1956</v>
      </c>
      <c r="Y94" s="52" t="s">
        <v>49</v>
      </c>
      <c r="Z94" s="52" t="s">
        <v>43</v>
      </c>
      <c r="AA94" s="62" t="s">
        <v>2215</v>
      </c>
      <c r="AB94" s="62" t="s">
        <v>2216</v>
      </c>
      <c r="AC94" s="62" t="s">
        <v>2217</v>
      </c>
      <c r="AD94" s="62" t="s">
        <v>2218</v>
      </c>
      <c r="AE94" s="62" t="s">
        <v>2219</v>
      </c>
      <c r="AF94" s="63" t="s">
        <v>2220</v>
      </c>
      <c r="AG94" s="63" t="s">
        <v>2221</v>
      </c>
      <c r="AH94" s="62" t="s">
        <v>2222</v>
      </c>
      <c r="AI94" s="62" t="s">
        <v>49</v>
      </c>
      <c r="AJ94" s="62" t="s">
        <v>2223</v>
      </c>
      <c r="AK94" s="62" t="s">
        <v>2224</v>
      </c>
      <c r="AL94" s="61">
        <v>0.81599999999999995</v>
      </c>
      <c r="AM94" s="62" t="s">
        <v>2225</v>
      </c>
      <c r="AN94" s="52" t="s">
        <v>2226</v>
      </c>
      <c r="AO94" s="62" t="s">
        <v>2227</v>
      </c>
      <c r="AP94" s="62" t="s">
        <v>2228</v>
      </c>
      <c r="AQ94" s="62" t="s">
        <v>2229</v>
      </c>
      <c r="AR94" s="62" t="s">
        <v>281</v>
      </c>
      <c r="AS94" s="86"/>
      <c r="AT94" s="86"/>
    </row>
    <row r="95" spans="1:46" ht="15.75" customHeight="1">
      <c r="A95" s="9" t="s">
        <v>114</v>
      </c>
      <c r="B95" s="45" t="s">
        <v>2204</v>
      </c>
      <c r="C95" s="58" t="s">
        <v>2205</v>
      </c>
      <c r="D95" s="9" t="s">
        <v>82</v>
      </c>
      <c r="E95" s="13" t="s">
        <v>1965</v>
      </c>
      <c r="F95" s="67">
        <v>1E-4</v>
      </c>
      <c r="G95" s="61">
        <v>0.52939999999999998</v>
      </c>
      <c r="H95" s="61">
        <v>0.5323</v>
      </c>
      <c r="I95" s="61">
        <v>6.8999999999999999E-3</v>
      </c>
      <c r="J95" s="62" t="s">
        <v>2206</v>
      </c>
      <c r="K95" s="62" t="s">
        <v>2230</v>
      </c>
      <c r="L95" s="62" t="s">
        <v>2230</v>
      </c>
      <c r="M95" s="62" t="s">
        <v>2231</v>
      </c>
      <c r="N95" s="62" t="s">
        <v>49</v>
      </c>
      <c r="O95" s="62" t="s">
        <v>2232</v>
      </c>
      <c r="P95" s="62" t="s">
        <v>2233</v>
      </c>
      <c r="Q95" s="62" t="s">
        <v>1956</v>
      </c>
      <c r="R95" s="52" t="s">
        <v>2234</v>
      </c>
      <c r="S95" s="62" t="s">
        <v>2235</v>
      </c>
      <c r="T95" s="62" t="s">
        <v>1956</v>
      </c>
      <c r="U95" s="62" t="s">
        <v>1956</v>
      </c>
      <c r="V95" s="62" t="s">
        <v>2236</v>
      </c>
      <c r="W95" s="62" t="s">
        <v>2237</v>
      </c>
      <c r="X95" s="62" t="s">
        <v>1956</v>
      </c>
      <c r="Y95" s="52" t="s">
        <v>49</v>
      </c>
      <c r="Z95" s="52" t="s">
        <v>43</v>
      </c>
      <c r="AA95" s="62" t="s">
        <v>2238</v>
      </c>
      <c r="AB95" s="62" t="s">
        <v>2239</v>
      </c>
      <c r="AC95" s="62" t="s">
        <v>2240</v>
      </c>
      <c r="AD95" s="62" t="s">
        <v>2241</v>
      </c>
      <c r="AE95" s="62" t="s">
        <v>2242</v>
      </c>
      <c r="AF95" s="63" t="s">
        <v>2243</v>
      </c>
      <c r="AG95" s="63" t="s">
        <v>2244</v>
      </c>
      <c r="AH95" s="62" t="s">
        <v>2245</v>
      </c>
      <c r="AI95" s="62" t="s">
        <v>49</v>
      </c>
      <c r="AJ95" s="62" t="s">
        <v>2246</v>
      </c>
      <c r="AK95" s="62" t="s">
        <v>2247</v>
      </c>
      <c r="AL95" s="61">
        <v>-0.94399999999999995</v>
      </c>
      <c r="AM95" s="62" t="s">
        <v>2248</v>
      </c>
      <c r="AN95" s="52" t="s">
        <v>2226</v>
      </c>
      <c r="AO95" s="62" t="s">
        <v>2249</v>
      </c>
      <c r="AP95" s="62" t="s">
        <v>2228</v>
      </c>
      <c r="AQ95" s="62" t="s">
        <v>2250</v>
      </c>
      <c r="AR95" s="62" t="s">
        <v>311</v>
      </c>
      <c r="AS95" s="86"/>
      <c r="AT95" s="86"/>
    </row>
    <row r="96" spans="1:46" ht="15.75" customHeight="1">
      <c r="A96" s="9" t="s">
        <v>114</v>
      </c>
      <c r="B96" s="45" t="s">
        <v>2204</v>
      </c>
      <c r="C96" s="58" t="s">
        <v>2205</v>
      </c>
      <c r="D96" s="9" t="s">
        <v>115</v>
      </c>
      <c r="E96" s="13" t="s">
        <v>1965</v>
      </c>
      <c r="F96" s="67">
        <v>1E-4</v>
      </c>
      <c r="G96" s="61">
        <v>0.52939999999999998</v>
      </c>
      <c r="H96" s="61">
        <v>0.5847</v>
      </c>
      <c r="I96" s="61">
        <v>4.5999999999999999E-3</v>
      </c>
      <c r="J96" s="62" t="s">
        <v>2206</v>
      </c>
      <c r="K96" s="62" t="s">
        <v>2251</v>
      </c>
      <c r="L96" s="62" t="s">
        <v>2251</v>
      </c>
      <c r="M96" s="62" t="s">
        <v>2252</v>
      </c>
      <c r="N96" s="62" t="s">
        <v>49</v>
      </c>
      <c r="O96" s="62" t="s">
        <v>2253</v>
      </c>
      <c r="P96" s="62" t="s">
        <v>2254</v>
      </c>
      <c r="Q96" s="62" t="s">
        <v>1956</v>
      </c>
      <c r="R96" s="52" t="s">
        <v>2255</v>
      </c>
      <c r="S96" s="62" t="s">
        <v>2256</v>
      </c>
      <c r="T96" s="62" t="s">
        <v>1956</v>
      </c>
      <c r="U96" s="62" t="s">
        <v>1956</v>
      </c>
      <c r="V96" s="62" t="s">
        <v>2257</v>
      </c>
      <c r="W96" s="62" t="s">
        <v>2258</v>
      </c>
      <c r="X96" s="62" t="s">
        <v>1956</v>
      </c>
      <c r="Y96" s="52" t="s">
        <v>49</v>
      </c>
      <c r="Z96" s="52" t="s">
        <v>43</v>
      </c>
      <c r="AA96" s="62" t="s">
        <v>2259</v>
      </c>
      <c r="AB96" s="62" t="s">
        <v>2260</v>
      </c>
      <c r="AC96" s="62" t="s">
        <v>2261</v>
      </c>
      <c r="AD96" s="62" t="s">
        <v>2262</v>
      </c>
      <c r="AE96" s="62" t="s">
        <v>2263</v>
      </c>
      <c r="AF96" s="63" t="s">
        <v>2264</v>
      </c>
      <c r="AG96" s="63" t="s">
        <v>2265</v>
      </c>
      <c r="AH96" s="62" t="s">
        <v>2266</v>
      </c>
      <c r="AI96" s="62" t="s">
        <v>49</v>
      </c>
      <c r="AJ96" s="62" t="s">
        <v>2267</v>
      </c>
      <c r="AK96" s="62" t="s">
        <v>2268</v>
      </c>
      <c r="AL96" s="61">
        <v>-0.114</v>
      </c>
      <c r="AM96" s="62" t="s">
        <v>2269</v>
      </c>
      <c r="AN96" s="52" t="s">
        <v>49</v>
      </c>
      <c r="AO96" s="62" t="s">
        <v>2270</v>
      </c>
      <c r="AP96" s="62" t="s">
        <v>2271</v>
      </c>
      <c r="AQ96" s="62" t="s">
        <v>2272</v>
      </c>
      <c r="AR96" s="62" t="s">
        <v>344</v>
      </c>
      <c r="AS96" s="86"/>
      <c r="AT96" s="86"/>
    </row>
    <row r="97" spans="1:47" ht="15.75" customHeight="1">
      <c r="A97" s="9" t="s">
        <v>114</v>
      </c>
      <c r="B97" s="45" t="s">
        <v>2204</v>
      </c>
      <c r="C97" s="58" t="s">
        <v>2205</v>
      </c>
      <c r="D97" s="9" t="s">
        <v>148</v>
      </c>
      <c r="E97" s="13" t="s">
        <v>1965</v>
      </c>
      <c r="F97" s="67">
        <v>1E-4</v>
      </c>
      <c r="G97" s="61">
        <v>0.52939999999999998</v>
      </c>
      <c r="H97" s="61">
        <v>0.52080000000000004</v>
      </c>
      <c r="I97" s="61">
        <v>4.1000000000000003E-3</v>
      </c>
      <c r="J97" s="62" t="s">
        <v>2206</v>
      </c>
      <c r="K97" s="62" t="s">
        <v>2273</v>
      </c>
      <c r="L97" s="62" t="s">
        <v>2273</v>
      </c>
      <c r="M97" s="62" t="s">
        <v>2274</v>
      </c>
      <c r="N97" s="62" t="s">
        <v>49</v>
      </c>
      <c r="O97" s="62" t="s">
        <v>2275</v>
      </c>
      <c r="P97" s="62" t="s">
        <v>49</v>
      </c>
      <c r="Q97" s="62" t="s">
        <v>1956</v>
      </c>
      <c r="R97" s="52" t="s">
        <v>2276</v>
      </c>
      <c r="S97" s="62" t="s">
        <v>2277</v>
      </c>
      <c r="T97" s="62" t="s">
        <v>1956</v>
      </c>
      <c r="U97" s="62" t="s">
        <v>1956</v>
      </c>
      <c r="V97" s="62" t="s">
        <v>2278</v>
      </c>
      <c r="W97" s="62" t="s">
        <v>2279</v>
      </c>
      <c r="X97" s="62" t="s">
        <v>1956</v>
      </c>
      <c r="Y97" s="52" t="s">
        <v>49</v>
      </c>
      <c r="Z97" s="52" t="s">
        <v>43</v>
      </c>
      <c r="AA97" s="62" t="s">
        <v>2280</v>
      </c>
      <c r="AB97" s="62" t="s">
        <v>2281</v>
      </c>
      <c r="AC97" s="62" t="s">
        <v>2282</v>
      </c>
      <c r="AD97" s="62" t="s">
        <v>2283</v>
      </c>
      <c r="AE97" s="62" t="s">
        <v>2284</v>
      </c>
      <c r="AF97" s="63" t="s">
        <v>2285</v>
      </c>
      <c r="AG97" s="63" t="s">
        <v>2286</v>
      </c>
      <c r="AH97" s="62" t="s">
        <v>2287</v>
      </c>
      <c r="AI97" s="62" t="s">
        <v>49</v>
      </c>
      <c r="AJ97" s="62" t="s">
        <v>2288</v>
      </c>
      <c r="AK97" s="62" t="s">
        <v>2289</v>
      </c>
      <c r="AL97" s="61">
        <v>0.61099999999999999</v>
      </c>
      <c r="AM97" s="62" t="s">
        <v>2290</v>
      </c>
      <c r="AN97" s="52" t="s">
        <v>49</v>
      </c>
      <c r="AO97" s="62" t="s">
        <v>2291</v>
      </c>
      <c r="AP97" s="62" t="s">
        <v>2292</v>
      </c>
      <c r="AQ97" s="62" t="s">
        <v>2293</v>
      </c>
      <c r="AR97" s="62" t="s">
        <v>376</v>
      </c>
      <c r="AS97" s="86"/>
      <c r="AT97" s="86"/>
    </row>
    <row r="98" spans="1:47" ht="15.75" customHeight="1">
      <c r="A98" s="9" t="s">
        <v>114</v>
      </c>
      <c r="B98" s="45" t="s">
        <v>2204</v>
      </c>
      <c r="C98" s="58" t="s">
        <v>2205</v>
      </c>
      <c r="D98" s="9" t="s">
        <v>180</v>
      </c>
      <c r="E98" s="13" t="s">
        <v>1965</v>
      </c>
      <c r="F98" s="67">
        <v>1E-4</v>
      </c>
      <c r="G98" s="61">
        <v>0.52939999999999998</v>
      </c>
      <c r="H98" s="61">
        <v>0.53600000000000003</v>
      </c>
      <c r="I98" s="61">
        <v>4.5999999999999999E-3</v>
      </c>
      <c r="J98" s="62" t="s">
        <v>2206</v>
      </c>
      <c r="K98" s="62" t="s">
        <v>2294</v>
      </c>
      <c r="L98" s="62" t="s">
        <v>2294</v>
      </c>
      <c r="M98" s="62" t="s">
        <v>2295</v>
      </c>
      <c r="N98" s="62" t="s">
        <v>49</v>
      </c>
      <c r="O98" s="62" t="s">
        <v>2296</v>
      </c>
      <c r="P98" s="62" t="s">
        <v>49</v>
      </c>
      <c r="Q98" s="62" t="s">
        <v>1956</v>
      </c>
      <c r="R98" s="52" t="s">
        <v>2297</v>
      </c>
      <c r="S98" s="62" t="s">
        <v>2298</v>
      </c>
      <c r="T98" s="62" t="s">
        <v>1956</v>
      </c>
      <c r="U98" s="62" t="s">
        <v>1956</v>
      </c>
      <c r="V98" s="62" t="s">
        <v>2299</v>
      </c>
      <c r="W98" s="62" t="s">
        <v>2300</v>
      </c>
      <c r="X98" s="62" t="s">
        <v>1956</v>
      </c>
      <c r="Y98" s="52" t="s">
        <v>49</v>
      </c>
      <c r="Z98" s="52" t="s">
        <v>43</v>
      </c>
      <c r="AA98" s="62" t="s">
        <v>2301</v>
      </c>
      <c r="AB98" s="62" t="s">
        <v>2302</v>
      </c>
      <c r="AC98" s="62" t="s">
        <v>2303</v>
      </c>
      <c r="AD98" s="62" t="s">
        <v>2304</v>
      </c>
      <c r="AE98" s="62" t="s">
        <v>2305</v>
      </c>
      <c r="AF98" s="63" t="s">
        <v>2306</v>
      </c>
      <c r="AG98" s="63" t="s">
        <v>2307</v>
      </c>
      <c r="AH98" s="62" t="s">
        <v>2308</v>
      </c>
      <c r="AI98" s="62" t="s">
        <v>49</v>
      </c>
      <c r="AJ98" s="62" t="s">
        <v>2309</v>
      </c>
      <c r="AK98" s="62" t="s">
        <v>2310</v>
      </c>
      <c r="AL98" s="61">
        <v>8.4000000000000005E-2</v>
      </c>
      <c r="AM98" s="62" t="s">
        <v>2311</v>
      </c>
      <c r="AN98" s="52" t="s">
        <v>2312</v>
      </c>
      <c r="AO98" s="62" t="s">
        <v>1250</v>
      </c>
      <c r="AP98" s="62" t="s">
        <v>2313</v>
      </c>
      <c r="AQ98" s="62" t="s">
        <v>2314</v>
      </c>
      <c r="AR98" s="62" t="s">
        <v>411</v>
      </c>
      <c r="AS98" s="86"/>
      <c r="AT98" s="86"/>
    </row>
    <row r="99" spans="1:47" ht="15.75" customHeight="1">
      <c r="A99" s="16" t="s">
        <v>147</v>
      </c>
      <c r="B99" s="17" t="s">
        <v>2315</v>
      </c>
      <c r="C99" s="58" t="s">
        <v>2316</v>
      </c>
      <c r="D99" s="16" t="s">
        <v>46</v>
      </c>
      <c r="E99" s="40" t="s">
        <v>1954</v>
      </c>
      <c r="F99" s="54" t="s">
        <v>1956</v>
      </c>
      <c r="G99" s="54" t="s">
        <v>49</v>
      </c>
      <c r="H99" s="66">
        <v>0.85460000000000003</v>
      </c>
      <c r="I99" s="66">
        <v>0.1434</v>
      </c>
      <c r="J99" s="54" t="s">
        <v>2317</v>
      </c>
      <c r="K99" s="54" t="s">
        <v>2318</v>
      </c>
      <c r="L99" s="54" t="s">
        <v>2318</v>
      </c>
      <c r="M99" s="54" t="s">
        <v>2319</v>
      </c>
      <c r="N99" s="54" t="s">
        <v>49</v>
      </c>
      <c r="O99" s="54" t="s">
        <v>2320</v>
      </c>
      <c r="P99" s="54" t="s">
        <v>2321</v>
      </c>
      <c r="Q99" s="54" t="s">
        <v>49</v>
      </c>
      <c r="R99" s="54" t="s">
        <v>2322</v>
      </c>
      <c r="S99" s="54" t="s">
        <v>49</v>
      </c>
      <c r="T99" s="54" t="s">
        <v>49</v>
      </c>
      <c r="U99" s="54" t="s">
        <v>49</v>
      </c>
      <c r="V99" s="54" t="s">
        <v>2323</v>
      </c>
      <c r="W99" s="54" t="s">
        <v>2324</v>
      </c>
      <c r="X99" s="54" t="s">
        <v>49</v>
      </c>
      <c r="Y99" s="54" t="s">
        <v>49</v>
      </c>
      <c r="Z99" s="54" t="s">
        <v>43</v>
      </c>
      <c r="AA99" s="54" t="s">
        <v>2325</v>
      </c>
      <c r="AB99" s="54" t="s">
        <v>2326</v>
      </c>
      <c r="AC99" s="54" t="s">
        <v>2327</v>
      </c>
      <c r="AD99" s="54" t="s">
        <v>2328</v>
      </c>
      <c r="AE99" s="54" t="s">
        <v>2329</v>
      </c>
      <c r="AF99" s="64">
        <v>-1392465900</v>
      </c>
      <c r="AG99" s="64">
        <v>-26764040926</v>
      </c>
      <c r="AH99" s="54" t="s">
        <v>2330</v>
      </c>
      <c r="AI99" s="54" t="s">
        <v>49</v>
      </c>
      <c r="AJ99" s="54" t="s">
        <v>2331</v>
      </c>
      <c r="AK99" s="54" t="s">
        <v>2332</v>
      </c>
      <c r="AL99" s="65">
        <v>0.32819999999999999</v>
      </c>
      <c r="AM99" s="54" t="s">
        <v>49</v>
      </c>
      <c r="AN99" s="54" t="s">
        <v>2333</v>
      </c>
      <c r="AO99" s="54" t="s">
        <v>2334</v>
      </c>
      <c r="AP99" s="54" t="s">
        <v>2335</v>
      </c>
      <c r="AQ99" s="54" t="s">
        <v>2336</v>
      </c>
      <c r="AR99" s="54" t="s">
        <v>1635</v>
      </c>
      <c r="AS99" s="87"/>
      <c r="AT99" s="86"/>
    </row>
    <row r="100" spans="1:47" ht="15.75" customHeight="1">
      <c r="A100" s="16" t="s">
        <v>147</v>
      </c>
      <c r="B100" s="17" t="s">
        <v>2315</v>
      </c>
      <c r="C100" s="58" t="s">
        <v>2316</v>
      </c>
      <c r="D100" s="16" t="s">
        <v>82</v>
      </c>
      <c r="E100" s="40" t="s">
        <v>1954</v>
      </c>
      <c r="F100" s="54" t="s">
        <v>1956</v>
      </c>
      <c r="G100" s="54" t="s">
        <v>49</v>
      </c>
      <c r="H100" s="66">
        <v>0.87539999999999996</v>
      </c>
      <c r="I100" s="66">
        <v>0.1434</v>
      </c>
      <c r="J100" s="54" t="s">
        <v>2317</v>
      </c>
      <c r="K100" s="54" t="s">
        <v>2337</v>
      </c>
      <c r="L100" s="54" t="s">
        <v>2337</v>
      </c>
      <c r="M100" s="54" t="s">
        <v>2338</v>
      </c>
      <c r="N100" s="54" t="s">
        <v>49</v>
      </c>
      <c r="O100" s="54" t="s">
        <v>2339</v>
      </c>
      <c r="P100" s="54" t="s">
        <v>2340</v>
      </c>
      <c r="Q100" s="54" t="s">
        <v>49</v>
      </c>
      <c r="R100" s="54" t="s">
        <v>2341</v>
      </c>
      <c r="S100" s="54" t="s">
        <v>49</v>
      </c>
      <c r="T100" s="54" t="s">
        <v>49</v>
      </c>
      <c r="U100" s="54" t="s">
        <v>49</v>
      </c>
      <c r="V100" s="54" t="s">
        <v>2342</v>
      </c>
      <c r="W100" s="54" t="s">
        <v>2343</v>
      </c>
      <c r="X100" s="54" t="s">
        <v>49</v>
      </c>
      <c r="Y100" s="54" t="s">
        <v>49</v>
      </c>
      <c r="Z100" s="54" t="s">
        <v>43</v>
      </c>
      <c r="AA100" s="54" t="s">
        <v>2344</v>
      </c>
      <c r="AB100" s="54" t="s">
        <v>2345</v>
      </c>
      <c r="AC100" s="54" t="s">
        <v>2346</v>
      </c>
      <c r="AD100" s="54" t="s">
        <v>2347</v>
      </c>
      <c r="AE100" s="54" t="s">
        <v>2348</v>
      </c>
      <c r="AF100" s="64">
        <v>-2057852061</v>
      </c>
      <c r="AG100" s="64">
        <v>-20080925095</v>
      </c>
      <c r="AH100" s="54" t="s">
        <v>2349</v>
      </c>
      <c r="AI100" s="54" t="s">
        <v>2350</v>
      </c>
      <c r="AJ100" s="54" t="s">
        <v>2351</v>
      </c>
      <c r="AK100" s="54" t="s">
        <v>2352</v>
      </c>
      <c r="AL100" s="65">
        <v>0.105</v>
      </c>
      <c r="AM100" s="54" t="s">
        <v>49</v>
      </c>
      <c r="AN100" s="54" t="s">
        <v>49</v>
      </c>
      <c r="AO100" s="54" t="s">
        <v>2353</v>
      </c>
      <c r="AP100" s="54" t="s">
        <v>2354</v>
      </c>
      <c r="AQ100" s="54" t="s">
        <v>2355</v>
      </c>
      <c r="AR100" s="54" t="s">
        <v>2356</v>
      </c>
      <c r="AS100" s="86"/>
      <c r="AT100" s="86"/>
    </row>
    <row r="101" spans="1:47" ht="15.75" customHeight="1">
      <c r="A101" s="16" t="s">
        <v>147</v>
      </c>
      <c r="B101" s="17" t="s">
        <v>2315</v>
      </c>
      <c r="C101" s="58" t="s">
        <v>2316</v>
      </c>
      <c r="D101" s="16" t="s">
        <v>115</v>
      </c>
      <c r="E101" s="40" t="s">
        <v>1954</v>
      </c>
      <c r="F101" s="66">
        <v>2.2200000000000001E-2</v>
      </c>
      <c r="G101" s="54" t="s">
        <v>49</v>
      </c>
      <c r="H101" s="66">
        <v>0.89629999999999999</v>
      </c>
      <c r="I101" s="66">
        <v>0.1434</v>
      </c>
      <c r="J101" s="54" t="s">
        <v>2317</v>
      </c>
      <c r="K101" s="54" t="s">
        <v>2357</v>
      </c>
      <c r="L101" s="54" t="s">
        <v>2357</v>
      </c>
      <c r="M101" s="54" t="s">
        <v>2358</v>
      </c>
      <c r="N101" s="54" t="s">
        <v>49</v>
      </c>
      <c r="O101" s="54" t="s">
        <v>2359</v>
      </c>
      <c r="P101" s="54" t="s">
        <v>2360</v>
      </c>
      <c r="Q101" s="54" t="s">
        <v>49</v>
      </c>
      <c r="R101" s="54" t="s">
        <v>2361</v>
      </c>
      <c r="S101" s="54" t="s">
        <v>49</v>
      </c>
      <c r="T101" s="54" t="s">
        <v>49</v>
      </c>
      <c r="U101" s="54" t="s">
        <v>49</v>
      </c>
      <c r="V101" s="54" t="s">
        <v>2362</v>
      </c>
      <c r="W101" s="54" t="s">
        <v>2363</v>
      </c>
      <c r="X101" s="54" t="s">
        <v>49</v>
      </c>
      <c r="Y101" s="54" t="s">
        <v>49</v>
      </c>
      <c r="Z101" s="54" t="s">
        <v>43</v>
      </c>
      <c r="AA101" s="54" t="s">
        <v>2364</v>
      </c>
      <c r="AB101" s="54" t="s">
        <v>2365</v>
      </c>
      <c r="AC101" s="54" t="s">
        <v>2366</v>
      </c>
      <c r="AD101" s="54" t="s">
        <v>2367</v>
      </c>
      <c r="AE101" s="54" t="s">
        <v>2368</v>
      </c>
      <c r="AF101" s="64">
        <v>-196372054</v>
      </c>
      <c r="AG101" s="64">
        <v>-135977229673</v>
      </c>
      <c r="AH101" s="54" t="s">
        <v>2369</v>
      </c>
      <c r="AI101" s="54" t="s">
        <v>2370</v>
      </c>
      <c r="AJ101" s="54" t="s">
        <v>2371</v>
      </c>
      <c r="AK101" s="54" t="s">
        <v>2372</v>
      </c>
      <c r="AL101" s="65">
        <v>-0.28999999999999998</v>
      </c>
      <c r="AM101" s="54" t="s">
        <v>49</v>
      </c>
      <c r="AN101" s="54" t="s">
        <v>2373</v>
      </c>
      <c r="AO101" s="54" t="s">
        <v>2374</v>
      </c>
      <c r="AP101" s="54" t="s">
        <v>2375</v>
      </c>
      <c r="AQ101" s="54" t="s">
        <v>2376</v>
      </c>
      <c r="AR101" s="54" t="s">
        <v>2377</v>
      </c>
      <c r="AS101" s="86"/>
      <c r="AT101" s="86"/>
    </row>
    <row r="102" spans="1:47" ht="15.75" customHeight="1">
      <c r="A102" s="16" t="s">
        <v>147</v>
      </c>
      <c r="B102" s="17" t="s">
        <v>2315</v>
      </c>
      <c r="C102" s="58" t="s">
        <v>2316</v>
      </c>
      <c r="D102" s="16" t="s">
        <v>148</v>
      </c>
      <c r="E102" s="40" t="s">
        <v>1954</v>
      </c>
      <c r="F102" s="66">
        <v>1.21E-2</v>
      </c>
      <c r="G102" s="54" t="s">
        <v>49</v>
      </c>
      <c r="H102" s="66">
        <v>0.82</v>
      </c>
      <c r="I102" s="66">
        <v>0.1026</v>
      </c>
      <c r="J102" s="54" t="s">
        <v>2378</v>
      </c>
      <c r="K102" s="54" t="s">
        <v>2379</v>
      </c>
      <c r="L102" s="54" t="s">
        <v>2379</v>
      </c>
      <c r="M102" s="54" t="s">
        <v>2380</v>
      </c>
      <c r="N102" s="54" t="s">
        <v>49</v>
      </c>
      <c r="O102" s="54" t="s">
        <v>2381</v>
      </c>
      <c r="P102" s="54" t="s">
        <v>2382</v>
      </c>
      <c r="Q102" s="54" t="s">
        <v>49</v>
      </c>
      <c r="R102" s="54" t="s">
        <v>2383</v>
      </c>
      <c r="S102" s="54" t="s">
        <v>49</v>
      </c>
      <c r="T102" s="54" t="s">
        <v>49</v>
      </c>
      <c r="U102" s="54" t="s">
        <v>49</v>
      </c>
      <c r="V102" s="54" t="s">
        <v>2384</v>
      </c>
      <c r="W102" s="54" t="s">
        <v>2385</v>
      </c>
      <c r="X102" s="54" t="s">
        <v>49</v>
      </c>
      <c r="Y102" s="54" t="s">
        <v>49</v>
      </c>
      <c r="Z102" s="54" t="s">
        <v>43</v>
      </c>
      <c r="AA102" s="54" t="s">
        <v>2386</v>
      </c>
      <c r="AB102" s="54" t="s">
        <v>2387</v>
      </c>
      <c r="AC102" s="54" t="s">
        <v>2388</v>
      </c>
      <c r="AD102" s="54" t="s">
        <v>2389</v>
      </c>
      <c r="AE102" s="54" t="s">
        <v>2390</v>
      </c>
      <c r="AF102" s="64">
        <v>-1862267874</v>
      </c>
      <c r="AG102" s="64">
        <v>10037811997</v>
      </c>
      <c r="AH102" s="54" t="s">
        <v>2391</v>
      </c>
      <c r="AI102" s="54" t="s">
        <v>49</v>
      </c>
      <c r="AJ102" s="54" t="s">
        <v>2392</v>
      </c>
      <c r="AK102" s="54" t="s">
        <v>2393</v>
      </c>
      <c r="AL102" s="65">
        <v>-0.51200000000000001</v>
      </c>
      <c r="AM102" s="54" t="s">
        <v>49</v>
      </c>
      <c r="AN102" s="54" t="s">
        <v>2394</v>
      </c>
      <c r="AO102" s="54" t="s">
        <v>2395</v>
      </c>
      <c r="AP102" s="54" t="s">
        <v>2396</v>
      </c>
      <c r="AQ102" s="54" t="s">
        <v>2397</v>
      </c>
      <c r="AR102" s="54" t="s">
        <v>2249</v>
      </c>
      <c r="AS102" s="86"/>
      <c r="AT102" s="86"/>
    </row>
    <row r="103" spans="1:47" ht="15.75" customHeight="1">
      <c r="A103" s="16" t="s">
        <v>147</v>
      </c>
      <c r="B103" s="17" t="s">
        <v>2315</v>
      </c>
      <c r="C103" s="58" t="s">
        <v>2316</v>
      </c>
      <c r="D103" s="16" t="s">
        <v>180</v>
      </c>
      <c r="E103" s="40" t="s">
        <v>1954</v>
      </c>
      <c r="F103" s="66">
        <v>1.21E-2</v>
      </c>
      <c r="G103" s="54" t="s">
        <v>49</v>
      </c>
      <c r="H103" s="66">
        <v>0.81869999999999998</v>
      </c>
      <c r="I103" s="66">
        <v>0.1052</v>
      </c>
      <c r="J103" s="54" t="s">
        <v>2378</v>
      </c>
      <c r="K103" s="54" t="s">
        <v>2398</v>
      </c>
      <c r="L103" s="54" t="s">
        <v>2398</v>
      </c>
      <c r="M103" s="54" t="s">
        <v>2399</v>
      </c>
      <c r="N103" s="54" t="s">
        <v>49</v>
      </c>
      <c r="O103" s="54" t="s">
        <v>2400</v>
      </c>
      <c r="P103" s="54" t="s">
        <v>2401</v>
      </c>
      <c r="Q103" s="54" t="s">
        <v>49</v>
      </c>
      <c r="R103" s="54" t="s">
        <v>2402</v>
      </c>
      <c r="S103" s="54" t="s">
        <v>49</v>
      </c>
      <c r="T103" s="54" t="s">
        <v>49</v>
      </c>
      <c r="U103" s="54" t="s">
        <v>49</v>
      </c>
      <c r="V103" s="54" t="s">
        <v>2403</v>
      </c>
      <c r="W103" s="54" t="s">
        <v>2404</v>
      </c>
      <c r="X103" s="54" t="s">
        <v>49</v>
      </c>
      <c r="Y103" s="54" t="s">
        <v>49</v>
      </c>
      <c r="Z103" s="54" t="s">
        <v>43</v>
      </c>
      <c r="AA103" s="54" t="s">
        <v>2405</v>
      </c>
      <c r="AB103" s="54" t="s">
        <v>2406</v>
      </c>
      <c r="AC103" s="54" t="s">
        <v>2407</v>
      </c>
      <c r="AD103" s="54" t="s">
        <v>2408</v>
      </c>
      <c r="AE103" s="54" t="s">
        <v>2409</v>
      </c>
      <c r="AF103" s="64">
        <v>-61227500</v>
      </c>
      <c r="AG103" s="64">
        <v>55820718021</v>
      </c>
      <c r="AH103" s="54" t="s">
        <v>2410</v>
      </c>
      <c r="AI103" s="54" t="s">
        <v>49</v>
      </c>
      <c r="AJ103" s="54" t="s">
        <v>2411</v>
      </c>
      <c r="AK103" s="54" t="s">
        <v>2412</v>
      </c>
      <c r="AL103" s="65">
        <v>0.63</v>
      </c>
      <c r="AM103" s="54" t="s">
        <v>49</v>
      </c>
      <c r="AN103" s="54" t="s">
        <v>49</v>
      </c>
      <c r="AO103" s="54" t="s">
        <v>2413</v>
      </c>
      <c r="AP103" s="54" t="s">
        <v>2414</v>
      </c>
      <c r="AQ103" s="54" t="s">
        <v>2415</v>
      </c>
      <c r="AR103" s="54" t="s">
        <v>2416</v>
      </c>
      <c r="AS103" s="86"/>
      <c r="AT103" s="86"/>
    </row>
    <row r="104" spans="1:47" ht="15.75" customHeight="1">
      <c r="A104" s="12"/>
      <c r="B104" s="10"/>
      <c r="C104" s="12"/>
      <c r="D104" s="12"/>
      <c r="E104" s="68"/>
      <c r="F104" s="68"/>
      <c r="G104" s="68"/>
      <c r="H104" s="68"/>
      <c r="I104" s="69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70"/>
      <c r="AG104" s="70"/>
      <c r="AH104" s="68"/>
      <c r="AI104" s="68"/>
      <c r="AJ104" s="68"/>
      <c r="AK104" s="68"/>
      <c r="AL104" s="71"/>
      <c r="AM104" s="68"/>
      <c r="AN104" s="68"/>
      <c r="AO104" s="68"/>
      <c r="AP104" s="68"/>
      <c r="AQ104" s="68"/>
      <c r="AR104" s="68"/>
      <c r="AS104" s="86"/>
      <c r="AT104" s="72"/>
      <c r="AU104" s="72"/>
    </row>
    <row r="105" spans="1:47" ht="15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86"/>
    </row>
    <row r="106" spans="1:47" ht="15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86"/>
    </row>
    <row r="107" spans="1:47" ht="15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  <c r="AO107" s="73"/>
      <c r="AP107" s="73"/>
      <c r="AQ107" s="73"/>
      <c r="AR107" s="73"/>
      <c r="AS107" s="86"/>
    </row>
    <row r="108" spans="1:47" ht="15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  <c r="AO108" s="73"/>
      <c r="AP108" s="73"/>
      <c r="AQ108" s="73"/>
      <c r="AR108" s="73"/>
      <c r="AS108" s="86"/>
    </row>
    <row r="109" spans="1:47" ht="15.75" customHeight="1">
      <c r="A109" s="73"/>
      <c r="B109" s="73"/>
      <c r="C109" s="73"/>
      <c r="D109" s="73"/>
      <c r="E109" s="73"/>
      <c r="F109" s="74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  <c r="AO109" s="73"/>
      <c r="AP109" s="73"/>
      <c r="AQ109" s="73"/>
      <c r="AR109" s="73"/>
      <c r="AS109" s="86"/>
    </row>
    <row r="110" spans="1:47" ht="15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86"/>
    </row>
    <row r="111" spans="1:47" ht="15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  <c r="AO111" s="73"/>
      <c r="AP111" s="73"/>
      <c r="AQ111" s="73"/>
      <c r="AR111" s="73"/>
      <c r="AS111" s="86"/>
    </row>
    <row r="112" spans="1:47" ht="15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86"/>
    </row>
    <row r="113" spans="1:45" ht="15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  <c r="AO113" s="73"/>
      <c r="AP113" s="73"/>
      <c r="AQ113" s="73"/>
      <c r="AR113" s="73"/>
      <c r="AS113" s="86"/>
    </row>
    <row r="114" spans="1:45" ht="15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86"/>
    </row>
    <row r="115" spans="1:45" ht="15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  <c r="AO115" s="73"/>
      <c r="AP115" s="73"/>
      <c r="AQ115" s="73"/>
      <c r="AR115" s="73"/>
      <c r="AS115" s="86"/>
    </row>
    <row r="116" spans="1:45" ht="15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  <c r="AO116" s="73"/>
      <c r="AP116" s="73"/>
      <c r="AQ116" s="73"/>
      <c r="AR116" s="73"/>
      <c r="AS116" s="86"/>
    </row>
    <row r="117" spans="1:45" ht="15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86"/>
    </row>
    <row r="118" spans="1:45" ht="15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86"/>
    </row>
    <row r="119" spans="1:45" ht="15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  <c r="AO119" s="73"/>
      <c r="AP119" s="73"/>
      <c r="AQ119" s="73"/>
      <c r="AR119" s="73"/>
    </row>
    <row r="120" spans="1:45" ht="15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  <c r="AO120" s="73"/>
      <c r="AP120" s="73"/>
      <c r="AQ120" s="73"/>
      <c r="AR120" s="73"/>
    </row>
    <row r="121" spans="1:45" ht="15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  <c r="AO121" s="73"/>
      <c r="AP121" s="73"/>
      <c r="AQ121" s="73"/>
      <c r="AR121" s="73"/>
    </row>
    <row r="122" spans="1:45" ht="15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</row>
    <row r="123" spans="1:45" ht="15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73"/>
      <c r="AQ123" s="73"/>
      <c r="AR123" s="73"/>
    </row>
    <row r="124" spans="1:45" ht="15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3"/>
      <c r="AL124" s="73"/>
      <c r="AM124" s="73"/>
      <c r="AN124" s="73"/>
      <c r="AO124" s="73"/>
      <c r="AP124" s="73"/>
      <c r="AQ124" s="73"/>
      <c r="AR124" s="73"/>
    </row>
    <row r="125" spans="1:45" ht="15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  <c r="AO125" s="73"/>
      <c r="AP125" s="73"/>
      <c r="AQ125" s="73"/>
      <c r="AR125" s="73"/>
    </row>
    <row r="126" spans="1:45" ht="15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</row>
    <row r="127" spans="1:45" ht="15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  <c r="AM127" s="73"/>
      <c r="AN127" s="73"/>
      <c r="AO127" s="73"/>
      <c r="AP127" s="73"/>
      <c r="AQ127" s="73"/>
      <c r="AR127" s="73"/>
    </row>
    <row r="128" spans="1:45" ht="15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  <c r="AM128" s="73"/>
      <c r="AN128" s="73"/>
      <c r="AO128" s="73"/>
      <c r="AP128" s="73"/>
      <c r="AQ128" s="73"/>
      <c r="AR128" s="73"/>
    </row>
    <row r="129" spans="1:44" ht="15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  <c r="AO129" s="73"/>
      <c r="AP129" s="73"/>
      <c r="AQ129" s="73"/>
      <c r="AR129" s="73"/>
    </row>
    <row r="130" spans="1:44" ht="15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</row>
    <row r="131" spans="1:44" ht="15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  <c r="AO131" s="73"/>
      <c r="AP131" s="73"/>
      <c r="AQ131" s="73"/>
      <c r="AR131" s="73"/>
    </row>
    <row r="132" spans="1:44" ht="15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  <c r="AM132" s="73"/>
      <c r="AN132" s="73"/>
      <c r="AO132" s="73"/>
      <c r="AP132" s="73"/>
      <c r="AQ132" s="73"/>
      <c r="AR132" s="73"/>
    </row>
    <row r="133" spans="1:44" ht="15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  <c r="AO133" s="73"/>
      <c r="AP133" s="73"/>
      <c r="AQ133" s="73"/>
      <c r="AR133" s="73"/>
    </row>
    <row r="134" spans="1:44" ht="15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</row>
    <row r="135" spans="1:44" ht="15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  <c r="AM135" s="73"/>
      <c r="AN135" s="73"/>
      <c r="AO135" s="73"/>
      <c r="AP135" s="73"/>
      <c r="AQ135" s="73"/>
      <c r="AR135" s="73"/>
    </row>
    <row r="136" spans="1:44" ht="15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  <c r="AM136" s="73"/>
      <c r="AN136" s="73"/>
      <c r="AO136" s="73"/>
      <c r="AP136" s="73"/>
      <c r="AQ136" s="73"/>
      <c r="AR136" s="73"/>
    </row>
    <row r="137" spans="1:44" ht="15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  <c r="AM137" s="73"/>
      <c r="AN137" s="73"/>
      <c r="AO137" s="73"/>
      <c r="AP137" s="73"/>
      <c r="AQ137" s="73"/>
      <c r="AR137" s="73"/>
    </row>
    <row r="138" spans="1:44" ht="15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  <c r="AN138" s="73"/>
      <c r="AO138" s="73"/>
      <c r="AP138" s="73"/>
      <c r="AQ138" s="73"/>
      <c r="AR138" s="73"/>
    </row>
    <row r="139" spans="1:44" ht="15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  <c r="AN139" s="73"/>
      <c r="AO139" s="73"/>
      <c r="AP139" s="73"/>
      <c r="AQ139" s="73"/>
      <c r="AR139" s="73"/>
    </row>
    <row r="140" spans="1:44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  <c r="AM140" s="73"/>
      <c r="AN140" s="73"/>
      <c r="AO140" s="73"/>
      <c r="AP140" s="73"/>
      <c r="AQ140" s="73"/>
      <c r="AR140" s="73"/>
    </row>
    <row r="141" spans="1:44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  <c r="AM141" s="73"/>
      <c r="AN141" s="73"/>
      <c r="AO141" s="73"/>
      <c r="AP141" s="73"/>
      <c r="AQ141" s="73"/>
      <c r="AR141" s="73"/>
    </row>
    <row r="142" spans="1:44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</row>
    <row r="143" spans="1:44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  <c r="AM143" s="73"/>
      <c r="AN143" s="73"/>
      <c r="AO143" s="73"/>
      <c r="AP143" s="73"/>
      <c r="AQ143" s="73"/>
      <c r="AR143" s="73"/>
    </row>
    <row r="144" spans="1: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  <c r="AM144" s="73"/>
      <c r="AN144" s="73"/>
      <c r="AO144" s="73"/>
      <c r="AP144" s="73"/>
      <c r="AQ144" s="73"/>
      <c r="AR144" s="73"/>
    </row>
    <row r="145" spans="1:44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  <c r="AM145" s="73"/>
      <c r="AN145" s="73"/>
      <c r="AO145" s="73"/>
      <c r="AP145" s="73"/>
      <c r="AQ145" s="73"/>
      <c r="AR145" s="73"/>
    </row>
    <row r="146" spans="1:44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  <c r="AM146" s="73"/>
      <c r="AN146" s="73"/>
      <c r="AO146" s="73"/>
      <c r="AP146" s="73"/>
      <c r="AQ146" s="73"/>
      <c r="AR146" s="73"/>
    </row>
    <row r="147" spans="1:44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  <c r="AM147" s="73"/>
      <c r="AN147" s="73"/>
      <c r="AO147" s="73"/>
      <c r="AP147" s="73"/>
      <c r="AQ147" s="73"/>
      <c r="AR147" s="73"/>
    </row>
    <row r="148" spans="1:44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  <c r="AM148" s="73"/>
      <c r="AN148" s="73"/>
      <c r="AO148" s="73"/>
      <c r="AP148" s="73"/>
      <c r="AQ148" s="73"/>
      <c r="AR148" s="73"/>
    </row>
    <row r="149" spans="1:44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  <c r="AM149" s="73"/>
      <c r="AN149" s="73"/>
      <c r="AO149" s="73"/>
      <c r="AP149" s="73"/>
      <c r="AQ149" s="73"/>
      <c r="AR149" s="73"/>
    </row>
    <row r="150" spans="1:44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</row>
    <row r="151" spans="1:44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  <c r="AM151" s="73"/>
      <c r="AN151" s="73"/>
      <c r="AO151" s="73"/>
      <c r="AP151" s="73"/>
      <c r="AQ151" s="73"/>
      <c r="AR151" s="73"/>
    </row>
    <row r="152" spans="1:44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  <c r="AM152" s="73"/>
      <c r="AN152" s="73"/>
      <c r="AO152" s="73"/>
      <c r="AP152" s="73"/>
      <c r="AQ152" s="73"/>
      <c r="AR152" s="73"/>
    </row>
    <row r="153" spans="1:44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  <c r="AO153" s="73"/>
      <c r="AP153" s="73"/>
      <c r="AQ153" s="73"/>
      <c r="AR153" s="73"/>
    </row>
    <row r="154" spans="1:4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  <c r="AM154" s="73"/>
      <c r="AN154" s="73"/>
      <c r="AO154" s="73"/>
      <c r="AP154" s="73"/>
      <c r="AQ154" s="73"/>
      <c r="AR154" s="73"/>
    </row>
    <row r="155" spans="1:44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  <c r="AM155" s="73"/>
      <c r="AN155" s="73"/>
      <c r="AO155" s="73"/>
      <c r="AP155" s="73"/>
      <c r="AQ155" s="73"/>
      <c r="AR155" s="73"/>
    </row>
    <row r="156" spans="1:44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  <c r="AM156" s="73"/>
      <c r="AN156" s="73"/>
      <c r="AO156" s="73"/>
      <c r="AP156" s="73"/>
      <c r="AQ156" s="73"/>
      <c r="AR156" s="73"/>
    </row>
    <row r="157" spans="1:44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  <c r="AM157" s="73"/>
      <c r="AN157" s="73"/>
      <c r="AO157" s="73"/>
      <c r="AP157" s="73"/>
      <c r="AQ157" s="73"/>
      <c r="AR157" s="73"/>
    </row>
    <row r="158" spans="1:44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</row>
    <row r="159" spans="1:44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  <c r="AM159" s="73"/>
      <c r="AN159" s="73"/>
      <c r="AO159" s="73"/>
      <c r="AP159" s="73"/>
      <c r="AQ159" s="73"/>
      <c r="AR159" s="73"/>
    </row>
    <row r="160" spans="1:44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  <c r="AM160" s="73"/>
      <c r="AN160" s="73"/>
      <c r="AO160" s="73"/>
      <c r="AP160" s="73"/>
      <c r="AQ160" s="73"/>
      <c r="AR160" s="73"/>
    </row>
    <row r="161" spans="1:44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  <c r="AM161" s="73"/>
      <c r="AN161" s="73"/>
      <c r="AO161" s="73"/>
      <c r="AP161" s="73"/>
      <c r="AQ161" s="73"/>
      <c r="AR161" s="73"/>
    </row>
    <row r="162" spans="1:44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  <c r="AM162" s="73"/>
      <c r="AN162" s="73"/>
      <c r="AO162" s="73"/>
      <c r="AP162" s="73"/>
      <c r="AQ162" s="73"/>
      <c r="AR162" s="73"/>
    </row>
    <row r="163" spans="1:44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  <c r="AM163" s="73"/>
      <c r="AN163" s="73"/>
      <c r="AO163" s="73"/>
      <c r="AP163" s="73"/>
      <c r="AQ163" s="73"/>
      <c r="AR163" s="73"/>
    </row>
    <row r="164" spans="1:4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  <c r="AM164" s="73"/>
      <c r="AN164" s="73"/>
      <c r="AO164" s="73"/>
      <c r="AP164" s="73"/>
      <c r="AQ164" s="73"/>
      <c r="AR164" s="73"/>
    </row>
    <row r="165" spans="1:44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  <c r="AM165" s="73"/>
      <c r="AN165" s="73"/>
      <c r="AO165" s="73"/>
      <c r="AP165" s="73"/>
      <c r="AQ165" s="73"/>
      <c r="AR165" s="73"/>
    </row>
    <row r="166" spans="1:44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</row>
    <row r="167" spans="1:44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  <c r="AM167" s="73"/>
      <c r="AN167" s="73"/>
      <c r="AO167" s="73"/>
      <c r="AP167" s="73"/>
      <c r="AQ167" s="73"/>
      <c r="AR167" s="73"/>
    </row>
    <row r="168" spans="1:44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  <c r="AM168" s="73"/>
      <c r="AN168" s="73"/>
      <c r="AO168" s="73"/>
      <c r="AP168" s="73"/>
      <c r="AQ168" s="73"/>
      <c r="AR168" s="73"/>
    </row>
    <row r="169" spans="1:44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  <c r="AM169" s="73"/>
      <c r="AN169" s="73"/>
      <c r="AO169" s="73"/>
      <c r="AP169" s="73"/>
      <c r="AQ169" s="73"/>
      <c r="AR169" s="73"/>
    </row>
    <row r="170" spans="1:44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  <c r="AO170" s="73"/>
      <c r="AP170" s="73"/>
      <c r="AQ170" s="73"/>
      <c r="AR170" s="73"/>
    </row>
    <row r="171" spans="1:44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  <c r="AM171" s="73"/>
      <c r="AN171" s="73"/>
      <c r="AO171" s="73"/>
      <c r="AP171" s="73"/>
      <c r="AQ171" s="73"/>
      <c r="AR171" s="73"/>
    </row>
    <row r="172" spans="1:44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  <c r="AO172" s="73"/>
      <c r="AP172" s="73"/>
      <c r="AQ172" s="73"/>
      <c r="AR172" s="73"/>
    </row>
    <row r="173" spans="1:44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  <c r="AM173" s="73"/>
      <c r="AN173" s="73"/>
      <c r="AO173" s="73"/>
      <c r="AP173" s="73"/>
      <c r="AQ173" s="73"/>
      <c r="AR173" s="73"/>
    </row>
    <row r="174" spans="1:4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</row>
    <row r="175" spans="1:44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  <c r="AM175" s="73"/>
      <c r="AN175" s="73"/>
      <c r="AO175" s="73"/>
      <c r="AP175" s="73"/>
      <c r="AQ175" s="73"/>
      <c r="AR175" s="73"/>
    </row>
    <row r="176" spans="1:44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  <c r="AM176" s="73"/>
      <c r="AN176" s="73"/>
      <c r="AO176" s="73"/>
      <c r="AP176" s="73"/>
      <c r="AQ176" s="73"/>
      <c r="AR176" s="73"/>
    </row>
    <row r="177" spans="1:44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  <c r="AM177" s="73"/>
      <c r="AN177" s="73"/>
      <c r="AO177" s="73"/>
      <c r="AP177" s="73"/>
      <c r="AQ177" s="73"/>
      <c r="AR177" s="73"/>
    </row>
    <row r="178" spans="1:44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  <c r="AM178" s="73"/>
      <c r="AN178" s="73"/>
      <c r="AO178" s="73"/>
      <c r="AP178" s="73"/>
      <c r="AQ178" s="73"/>
      <c r="AR178" s="73"/>
    </row>
    <row r="179" spans="1:44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  <c r="AM179" s="73"/>
      <c r="AN179" s="73"/>
      <c r="AO179" s="73"/>
      <c r="AP179" s="73"/>
      <c r="AQ179" s="73"/>
      <c r="AR179" s="73"/>
    </row>
    <row r="180" spans="1:44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  <c r="AM180" s="73"/>
      <c r="AN180" s="73"/>
      <c r="AO180" s="73"/>
      <c r="AP180" s="73"/>
      <c r="AQ180" s="73"/>
      <c r="AR180" s="73"/>
    </row>
    <row r="181" spans="1:44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  <c r="AM181" s="73"/>
      <c r="AN181" s="73"/>
      <c r="AO181" s="73"/>
      <c r="AP181" s="73"/>
      <c r="AQ181" s="73"/>
      <c r="AR181" s="73"/>
    </row>
    <row r="182" spans="1:44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</row>
    <row r="183" spans="1:44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  <c r="AM183" s="73"/>
      <c r="AN183" s="73"/>
      <c r="AO183" s="73"/>
      <c r="AP183" s="73"/>
      <c r="AQ183" s="73"/>
      <c r="AR183" s="73"/>
    </row>
    <row r="184" spans="1:4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  <c r="AM184" s="73"/>
      <c r="AN184" s="73"/>
      <c r="AO184" s="73"/>
      <c r="AP184" s="73"/>
      <c r="AQ184" s="73"/>
      <c r="AR184" s="73"/>
    </row>
    <row r="185" spans="1:44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  <c r="AM185" s="73"/>
      <c r="AN185" s="73"/>
      <c r="AO185" s="73"/>
      <c r="AP185" s="73"/>
      <c r="AQ185" s="73"/>
      <c r="AR185" s="73"/>
    </row>
    <row r="186" spans="1:44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  <c r="AM186" s="73"/>
      <c r="AN186" s="73"/>
      <c r="AO186" s="73"/>
      <c r="AP186" s="73"/>
      <c r="AQ186" s="73"/>
      <c r="AR186" s="73"/>
    </row>
    <row r="187" spans="1:44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  <c r="AM187" s="73"/>
      <c r="AN187" s="73"/>
      <c r="AO187" s="73"/>
      <c r="AP187" s="73"/>
      <c r="AQ187" s="73"/>
      <c r="AR187" s="73"/>
    </row>
    <row r="188" spans="1:44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  <c r="AM188" s="73"/>
      <c r="AN188" s="73"/>
      <c r="AO188" s="73"/>
      <c r="AP188" s="73"/>
      <c r="AQ188" s="73"/>
      <c r="AR188" s="73"/>
    </row>
    <row r="189" spans="1:44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  <c r="AM189" s="73"/>
      <c r="AN189" s="73"/>
      <c r="AO189" s="73"/>
      <c r="AP189" s="73"/>
      <c r="AQ189" s="73"/>
      <c r="AR189" s="73"/>
    </row>
    <row r="190" spans="1:44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</row>
    <row r="191" spans="1:44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  <c r="AM191" s="73"/>
      <c r="AN191" s="73"/>
      <c r="AO191" s="73"/>
      <c r="AP191" s="73"/>
      <c r="AQ191" s="73"/>
      <c r="AR191" s="73"/>
    </row>
    <row r="192" spans="1:44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  <c r="AM192" s="73"/>
      <c r="AN192" s="73"/>
      <c r="AO192" s="73"/>
      <c r="AP192" s="73"/>
      <c r="AQ192" s="73"/>
      <c r="AR192" s="73"/>
    </row>
    <row r="193" spans="1:44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  <c r="AM193" s="73"/>
      <c r="AN193" s="73"/>
      <c r="AO193" s="73"/>
      <c r="AP193" s="73"/>
      <c r="AQ193" s="73"/>
      <c r="AR193" s="73"/>
    </row>
    <row r="194" spans="1:4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  <c r="AM194" s="73"/>
      <c r="AN194" s="73"/>
      <c r="AO194" s="73"/>
      <c r="AP194" s="73"/>
      <c r="AQ194" s="73"/>
      <c r="AR194" s="73"/>
    </row>
    <row r="195" spans="1:44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  <c r="AM195" s="73"/>
      <c r="AN195" s="73"/>
      <c r="AO195" s="73"/>
      <c r="AP195" s="73"/>
      <c r="AQ195" s="73"/>
      <c r="AR195" s="73"/>
    </row>
    <row r="196" spans="1:44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  <c r="AM196" s="73"/>
      <c r="AN196" s="73"/>
      <c r="AO196" s="73"/>
      <c r="AP196" s="73"/>
      <c r="AQ196" s="73"/>
      <c r="AR196" s="73"/>
    </row>
    <row r="197" spans="1:44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  <c r="AM197" s="73"/>
      <c r="AN197" s="73"/>
      <c r="AO197" s="73"/>
      <c r="AP197" s="73"/>
      <c r="AQ197" s="73"/>
      <c r="AR197" s="73"/>
    </row>
    <row r="198" spans="1:44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  <c r="AO198" s="73"/>
      <c r="AP198" s="73"/>
      <c r="AQ198" s="73"/>
      <c r="AR198" s="73"/>
    </row>
    <row r="199" spans="1:44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  <c r="AM199" s="73"/>
      <c r="AN199" s="73"/>
      <c r="AO199" s="73"/>
      <c r="AP199" s="73"/>
      <c r="AQ199" s="73"/>
      <c r="AR199" s="73"/>
    </row>
    <row r="200" spans="1:44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  <c r="AM200" s="73"/>
      <c r="AN200" s="73"/>
      <c r="AO200" s="73"/>
      <c r="AP200" s="73"/>
      <c r="AQ200" s="73"/>
      <c r="AR200" s="73"/>
    </row>
    <row r="201" spans="1:44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  <c r="AO201" s="73"/>
      <c r="AP201" s="73"/>
      <c r="AQ201" s="73"/>
      <c r="AR201" s="73"/>
    </row>
    <row r="202" spans="1:44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  <c r="AM202" s="73"/>
      <c r="AN202" s="73"/>
      <c r="AO202" s="73"/>
      <c r="AP202" s="73"/>
      <c r="AQ202" s="73"/>
      <c r="AR202" s="73"/>
    </row>
    <row r="203" spans="1:44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  <c r="AM203" s="73"/>
      <c r="AN203" s="73"/>
      <c r="AO203" s="73"/>
      <c r="AP203" s="73"/>
      <c r="AQ203" s="73"/>
      <c r="AR203" s="73"/>
    </row>
    <row r="204" spans="1:4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  <c r="AM204" s="73"/>
      <c r="AN204" s="73"/>
      <c r="AO204" s="73"/>
      <c r="AP204" s="73"/>
      <c r="AQ204" s="73"/>
      <c r="AR204" s="73"/>
    </row>
    <row r="205" spans="1:44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  <c r="AM205" s="73"/>
      <c r="AN205" s="73"/>
      <c r="AO205" s="73"/>
      <c r="AP205" s="73"/>
      <c r="AQ205" s="73"/>
      <c r="AR205" s="73"/>
    </row>
    <row r="206" spans="1:44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  <c r="AO206" s="73"/>
      <c r="AP206" s="73"/>
      <c r="AQ206" s="73"/>
      <c r="AR206" s="73"/>
    </row>
    <row r="207" spans="1:44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  <c r="AM207" s="73"/>
      <c r="AN207" s="73"/>
      <c r="AO207" s="73"/>
      <c r="AP207" s="73"/>
      <c r="AQ207" s="73"/>
      <c r="AR207" s="73"/>
    </row>
    <row r="208" spans="1:44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  <c r="AM208" s="73"/>
      <c r="AN208" s="73"/>
      <c r="AO208" s="73"/>
      <c r="AP208" s="73"/>
      <c r="AQ208" s="73"/>
      <c r="AR208" s="73"/>
    </row>
    <row r="209" spans="1:44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  <c r="AM209" s="73"/>
      <c r="AN209" s="73"/>
      <c r="AO209" s="73"/>
      <c r="AP209" s="73"/>
      <c r="AQ209" s="73"/>
      <c r="AR209" s="73"/>
    </row>
    <row r="210" spans="1:44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  <c r="AM210" s="73"/>
      <c r="AN210" s="73"/>
      <c r="AO210" s="73"/>
      <c r="AP210" s="73"/>
      <c r="AQ210" s="73"/>
      <c r="AR210" s="73"/>
    </row>
    <row r="211" spans="1:44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  <c r="AM211" s="73"/>
      <c r="AN211" s="73"/>
      <c r="AO211" s="73"/>
      <c r="AP211" s="73"/>
      <c r="AQ211" s="73"/>
      <c r="AR211" s="73"/>
    </row>
    <row r="212" spans="1:44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  <c r="AM212" s="73"/>
      <c r="AN212" s="73"/>
      <c r="AO212" s="73"/>
      <c r="AP212" s="73"/>
      <c r="AQ212" s="73"/>
      <c r="AR212" s="73"/>
    </row>
    <row r="213" spans="1:44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  <c r="AM213" s="73"/>
      <c r="AN213" s="73"/>
      <c r="AO213" s="73"/>
      <c r="AP213" s="73"/>
      <c r="AQ213" s="73"/>
      <c r="AR213" s="73"/>
    </row>
    <row r="214" spans="1:4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  <c r="AM214" s="73"/>
      <c r="AN214" s="73"/>
      <c r="AO214" s="73"/>
      <c r="AP214" s="73"/>
      <c r="AQ214" s="73"/>
      <c r="AR214" s="73"/>
    </row>
    <row r="215" spans="1:44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  <c r="AM215" s="73"/>
      <c r="AN215" s="73"/>
      <c r="AO215" s="73"/>
      <c r="AP215" s="73"/>
      <c r="AQ215" s="73"/>
      <c r="AR215" s="73"/>
    </row>
    <row r="216" spans="1:44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  <c r="AM216" s="73"/>
      <c r="AN216" s="73"/>
      <c r="AO216" s="73"/>
      <c r="AP216" s="73"/>
      <c r="AQ216" s="73"/>
      <c r="AR216" s="73"/>
    </row>
    <row r="217" spans="1:44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  <c r="AM217" s="73"/>
      <c r="AN217" s="73"/>
      <c r="AO217" s="73"/>
      <c r="AP217" s="73"/>
      <c r="AQ217" s="73"/>
      <c r="AR217" s="73"/>
    </row>
    <row r="218" spans="1:44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  <c r="AM218" s="73"/>
      <c r="AN218" s="73"/>
      <c r="AO218" s="73"/>
      <c r="AP218" s="73"/>
      <c r="AQ218" s="73"/>
      <c r="AR218" s="73"/>
    </row>
    <row r="219" spans="1:44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  <c r="AM219" s="73"/>
      <c r="AN219" s="73"/>
      <c r="AO219" s="73"/>
      <c r="AP219" s="73"/>
      <c r="AQ219" s="73"/>
      <c r="AR219" s="73"/>
    </row>
    <row r="220" spans="1:44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  <c r="AM220" s="73"/>
      <c r="AN220" s="73"/>
      <c r="AO220" s="73"/>
      <c r="AP220" s="73"/>
      <c r="AQ220" s="73"/>
      <c r="AR220" s="73"/>
    </row>
    <row r="221" spans="1:44" ht="15.75" customHeight="1"/>
    <row r="222" spans="1:44" ht="15.75" customHeight="1"/>
    <row r="223" spans="1:44" ht="15.75" customHeight="1"/>
    <row r="224" spans="1:4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S54:AS73"/>
    <mergeCell ref="AS79:AS98"/>
    <mergeCell ref="AT84:AT103"/>
    <mergeCell ref="AS99:AS118"/>
  </mergeCells>
  <pageMargins left="0.25" right="0.25" top="0.75" bottom="0.75" header="0" footer="0"/>
  <pageSetup paperSize="9" scale="3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"/>
  <sheetViews>
    <sheetView workbookViewId="0"/>
  </sheetViews>
  <sheetFormatPr defaultColWidth="11.19921875" defaultRowHeight="15" customHeight="1"/>
  <cols>
    <col min="2" max="2" width="42.3984375" customWidth="1"/>
    <col min="3" max="3" width="71.69921875" customWidth="1"/>
    <col min="4" max="4" width="50.09765625" customWidth="1"/>
  </cols>
  <sheetData>
    <row r="1" spans="1:4" ht="15" customHeight="1">
      <c r="A1" s="75" t="s">
        <v>2417</v>
      </c>
      <c r="B1" s="88" t="s">
        <v>2418</v>
      </c>
      <c r="C1" s="89"/>
      <c r="D1" s="90"/>
    </row>
    <row r="2" spans="1:4" ht="15" customHeight="1">
      <c r="A2" s="76">
        <v>1</v>
      </c>
      <c r="B2" s="77" t="s">
        <v>5</v>
      </c>
      <c r="C2" s="78" t="s">
        <v>2419</v>
      </c>
      <c r="D2" s="79" t="s">
        <v>2420</v>
      </c>
    </row>
    <row r="3" spans="1:4" ht="15" customHeight="1">
      <c r="A3" s="76">
        <v>2</v>
      </c>
      <c r="B3" s="80" t="s">
        <v>6</v>
      </c>
      <c r="C3" s="79" t="s">
        <v>2421</v>
      </c>
      <c r="D3" s="79" t="s">
        <v>2420</v>
      </c>
    </row>
    <row r="4" spans="1:4" ht="15" customHeight="1">
      <c r="A4" s="76">
        <v>3</v>
      </c>
      <c r="B4" s="80" t="s">
        <v>7</v>
      </c>
      <c r="C4" s="79" t="s">
        <v>2422</v>
      </c>
      <c r="D4" s="79" t="s">
        <v>2420</v>
      </c>
    </row>
    <row r="5" spans="1:4" ht="15" customHeight="1">
      <c r="A5" s="76">
        <v>4</v>
      </c>
      <c r="B5" s="80" t="s">
        <v>8</v>
      </c>
      <c r="C5" s="79" t="s">
        <v>2423</v>
      </c>
      <c r="D5" s="79" t="s">
        <v>2420</v>
      </c>
    </row>
    <row r="6" spans="1:4" ht="15" customHeight="1">
      <c r="A6" s="76">
        <v>5</v>
      </c>
      <c r="B6" s="80" t="s">
        <v>9</v>
      </c>
      <c r="C6" s="79" t="s">
        <v>2424</v>
      </c>
      <c r="D6" s="79" t="s">
        <v>2425</v>
      </c>
    </row>
    <row r="7" spans="1:4" ht="15" customHeight="1">
      <c r="A7" s="76">
        <v>6</v>
      </c>
      <c r="B7" s="80" t="s">
        <v>2426</v>
      </c>
      <c r="C7" s="79" t="s">
        <v>2427</v>
      </c>
      <c r="D7" s="79" t="s">
        <v>2428</v>
      </c>
    </row>
    <row r="8" spans="1:4" ht="15" customHeight="1">
      <c r="A8" s="76">
        <v>7</v>
      </c>
      <c r="B8" s="80" t="s">
        <v>12</v>
      </c>
      <c r="C8" s="79" t="s">
        <v>2429</v>
      </c>
      <c r="D8" s="79" t="s">
        <v>2430</v>
      </c>
    </row>
    <row r="9" spans="1:4" ht="15" customHeight="1">
      <c r="A9" s="76">
        <v>8</v>
      </c>
      <c r="B9" s="80" t="s">
        <v>13</v>
      </c>
      <c r="C9" s="79" t="s">
        <v>2431</v>
      </c>
      <c r="D9" s="79" t="s">
        <v>2432</v>
      </c>
    </row>
    <row r="10" spans="1:4" ht="15" customHeight="1">
      <c r="A10" s="76">
        <v>9</v>
      </c>
      <c r="B10" s="80" t="s">
        <v>2433</v>
      </c>
      <c r="C10" s="79" t="s">
        <v>2434</v>
      </c>
      <c r="D10" s="79" t="s">
        <v>2432</v>
      </c>
    </row>
    <row r="11" spans="1:4" ht="15" customHeight="1">
      <c r="A11" s="76">
        <v>10</v>
      </c>
      <c r="B11" s="80" t="s">
        <v>15</v>
      </c>
      <c r="C11" s="79" t="s">
        <v>2435</v>
      </c>
      <c r="D11" s="79" t="s">
        <v>2436</v>
      </c>
    </row>
    <row r="12" spans="1:4" ht="15" customHeight="1">
      <c r="A12" s="76">
        <v>11</v>
      </c>
      <c r="B12" s="80" t="s">
        <v>16</v>
      </c>
      <c r="C12" s="79" t="s">
        <v>2437</v>
      </c>
      <c r="D12" s="79" t="s">
        <v>2432</v>
      </c>
    </row>
    <row r="13" spans="1:4" ht="15" customHeight="1">
      <c r="A13" s="76">
        <v>12</v>
      </c>
      <c r="B13" s="80" t="s">
        <v>17</v>
      </c>
      <c r="C13" s="79" t="s">
        <v>2438</v>
      </c>
      <c r="D13" s="79" t="s">
        <v>2439</v>
      </c>
    </row>
    <row r="14" spans="1:4" ht="15" customHeight="1">
      <c r="A14" s="76">
        <v>13</v>
      </c>
      <c r="B14" s="80" t="s">
        <v>18</v>
      </c>
      <c r="C14" s="79" t="s">
        <v>2440</v>
      </c>
      <c r="D14" s="79" t="s">
        <v>2441</v>
      </c>
    </row>
    <row r="15" spans="1:4" ht="15" customHeight="1">
      <c r="A15" s="76">
        <v>14</v>
      </c>
      <c r="B15" s="80" t="s">
        <v>19</v>
      </c>
      <c r="C15" s="79" t="s">
        <v>2442</v>
      </c>
      <c r="D15" s="79" t="s">
        <v>2443</v>
      </c>
    </row>
    <row r="16" spans="1:4" ht="15" customHeight="1">
      <c r="A16" s="76">
        <v>15</v>
      </c>
      <c r="B16" s="80" t="s">
        <v>20</v>
      </c>
      <c r="C16" s="79" t="s">
        <v>2444</v>
      </c>
      <c r="D16" s="79" t="s">
        <v>2443</v>
      </c>
    </row>
    <row r="17" spans="1:4" ht="15" customHeight="1">
      <c r="A17" s="76">
        <v>16</v>
      </c>
      <c r="B17" s="80" t="s">
        <v>21</v>
      </c>
      <c r="C17" s="79" t="s">
        <v>2445</v>
      </c>
      <c r="D17" s="79" t="s">
        <v>2441</v>
      </c>
    </row>
    <row r="18" spans="1:4" ht="15" customHeight="1">
      <c r="A18" s="76">
        <v>17</v>
      </c>
      <c r="B18" s="81" t="s">
        <v>22</v>
      </c>
      <c r="C18" s="79" t="s">
        <v>2446</v>
      </c>
      <c r="D18" s="79" t="s">
        <v>2447</v>
      </c>
    </row>
    <row r="19" spans="1:4" ht="15" customHeight="1">
      <c r="A19" s="76">
        <v>18</v>
      </c>
      <c r="B19" s="82" t="s">
        <v>23</v>
      </c>
      <c r="C19" s="79" t="s">
        <v>2448</v>
      </c>
      <c r="D19" s="79" t="s">
        <v>2449</v>
      </c>
    </row>
    <row r="20" spans="1:4" ht="15" customHeight="1">
      <c r="A20" s="76">
        <v>19</v>
      </c>
      <c r="B20" s="82" t="s">
        <v>24</v>
      </c>
      <c r="C20" s="79" t="s">
        <v>2450</v>
      </c>
      <c r="D20" s="79" t="s">
        <v>2449</v>
      </c>
    </row>
    <row r="21" spans="1:4" ht="15" customHeight="1">
      <c r="A21" s="76">
        <v>20</v>
      </c>
      <c r="B21" s="82" t="s">
        <v>25</v>
      </c>
      <c r="C21" s="79" t="s">
        <v>2451</v>
      </c>
      <c r="D21" s="79" t="s">
        <v>2449</v>
      </c>
    </row>
    <row r="22" spans="1:4" ht="15" customHeight="1">
      <c r="A22" s="76">
        <v>21</v>
      </c>
      <c r="B22" s="83" t="s">
        <v>26</v>
      </c>
      <c r="C22" s="79" t="s">
        <v>2452</v>
      </c>
      <c r="D22" s="79" t="s">
        <v>2439</v>
      </c>
    </row>
    <row r="23" spans="1:4" ht="15" customHeight="1">
      <c r="A23" s="76">
        <v>22</v>
      </c>
      <c r="B23" s="80" t="s">
        <v>27</v>
      </c>
      <c r="C23" s="79" t="s">
        <v>2453</v>
      </c>
      <c r="D23" s="79" t="s">
        <v>2430</v>
      </c>
    </row>
    <row r="24" spans="1:4" ht="15" customHeight="1">
      <c r="A24" s="76">
        <v>23</v>
      </c>
      <c r="B24" s="80" t="s">
        <v>28</v>
      </c>
      <c r="C24" s="79" t="s">
        <v>2454</v>
      </c>
      <c r="D24" s="79" t="s">
        <v>2455</v>
      </c>
    </row>
    <row r="25" spans="1:4" ht="15" customHeight="1">
      <c r="A25" s="76">
        <v>24</v>
      </c>
      <c r="B25" s="80" t="s">
        <v>29</v>
      </c>
      <c r="C25" s="79" t="s">
        <v>2456</v>
      </c>
      <c r="D25" s="79" t="s">
        <v>2430</v>
      </c>
    </row>
    <row r="26" spans="1:4" ht="15" customHeight="1">
      <c r="A26" s="76">
        <v>25</v>
      </c>
      <c r="B26" s="80" t="s">
        <v>30</v>
      </c>
      <c r="C26" s="79" t="s">
        <v>2457</v>
      </c>
      <c r="D26" s="79" t="s">
        <v>2458</v>
      </c>
    </row>
    <row r="27" spans="1:4" ht="15" customHeight="1">
      <c r="A27" s="76">
        <v>26</v>
      </c>
      <c r="B27" s="80" t="s">
        <v>31</v>
      </c>
      <c r="C27" s="79" t="s">
        <v>2459</v>
      </c>
      <c r="D27" s="79" t="s">
        <v>2460</v>
      </c>
    </row>
    <row r="28" spans="1:4" ht="15" customHeight="1">
      <c r="A28" s="76">
        <v>27</v>
      </c>
      <c r="B28" s="80" t="s">
        <v>32</v>
      </c>
      <c r="C28" s="79" t="s">
        <v>2461</v>
      </c>
      <c r="D28" s="79" t="s">
        <v>2458</v>
      </c>
    </row>
    <row r="29" spans="1:4" ht="15" customHeight="1">
      <c r="A29" s="76">
        <v>28</v>
      </c>
      <c r="B29" s="80" t="s">
        <v>33</v>
      </c>
      <c r="C29" s="79" t="s">
        <v>2462</v>
      </c>
      <c r="D29" s="79" t="s">
        <v>2463</v>
      </c>
    </row>
    <row r="30" spans="1:4" ht="15.6">
      <c r="A30" s="76">
        <v>29</v>
      </c>
      <c r="B30" s="80" t="s">
        <v>34</v>
      </c>
      <c r="C30" s="79" t="s">
        <v>2464</v>
      </c>
      <c r="D30" s="79" t="s">
        <v>2430</v>
      </c>
    </row>
    <row r="31" spans="1:4" ht="15.6">
      <c r="A31" s="76">
        <v>30</v>
      </c>
      <c r="B31" s="80" t="s">
        <v>35</v>
      </c>
      <c r="C31" s="79" t="s">
        <v>2465</v>
      </c>
      <c r="D31" s="79" t="s">
        <v>2430</v>
      </c>
    </row>
    <row r="32" spans="1:4" ht="15.6">
      <c r="A32" s="76">
        <v>31</v>
      </c>
      <c r="B32" s="80" t="s">
        <v>36</v>
      </c>
      <c r="C32" s="79" t="s">
        <v>2466</v>
      </c>
      <c r="D32" s="79" t="s">
        <v>2430</v>
      </c>
    </row>
    <row r="33" spans="1:4" ht="15.6">
      <c r="A33" s="76">
        <v>32</v>
      </c>
      <c r="B33" s="84" t="s">
        <v>37</v>
      </c>
      <c r="C33" s="79" t="s">
        <v>2467</v>
      </c>
      <c r="D33" s="79" t="s">
        <v>2439</v>
      </c>
    </row>
    <row r="34" spans="1:4" ht="15.6">
      <c r="A34" s="76">
        <v>33</v>
      </c>
      <c r="B34" s="84" t="s">
        <v>38</v>
      </c>
      <c r="C34" s="79" t="s">
        <v>2468</v>
      </c>
      <c r="D34" s="79" t="s">
        <v>2430</v>
      </c>
    </row>
    <row r="35" spans="1:4" ht="15.6">
      <c r="A35" s="76">
        <v>34</v>
      </c>
      <c r="B35" s="84" t="s">
        <v>39</v>
      </c>
      <c r="C35" s="79" t="s">
        <v>2469</v>
      </c>
      <c r="D35" s="79" t="s">
        <v>2470</v>
      </c>
    </row>
    <row r="36" spans="1:4" ht="15.6">
      <c r="A36" s="76">
        <v>35</v>
      </c>
      <c r="B36" s="84" t="s">
        <v>40</v>
      </c>
      <c r="C36" s="79" t="s">
        <v>2471</v>
      </c>
      <c r="D36" s="79" t="s">
        <v>2439</v>
      </c>
    </row>
    <row r="37" spans="1:4" ht="15.6">
      <c r="A37" s="76">
        <v>36</v>
      </c>
      <c r="B37" s="84" t="s">
        <v>41</v>
      </c>
      <c r="C37" s="79" t="s">
        <v>2472</v>
      </c>
      <c r="D37" s="79" t="s">
        <v>2473</v>
      </c>
    </row>
    <row r="38" spans="1:4" ht="15.6">
      <c r="A38" s="76">
        <v>37</v>
      </c>
      <c r="B38" s="84" t="s">
        <v>2474</v>
      </c>
      <c r="C38" s="79" t="s">
        <v>2475</v>
      </c>
      <c r="D38" s="79" t="s">
        <v>2432</v>
      </c>
    </row>
    <row r="39" spans="1:4" ht="15.6">
      <c r="A39" s="76">
        <v>38</v>
      </c>
      <c r="B39" s="84" t="s">
        <v>42</v>
      </c>
      <c r="C39" s="79" t="s">
        <v>2476</v>
      </c>
      <c r="D39" s="79" t="s">
        <v>2473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công ty</vt:lpstr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Thu Trang</dc:creator>
  <cp:lastModifiedBy>ADMIN</cp:lastModifiedBy>
  <dcterms:created xsi:type="dcterms:W3CDTF">2025-10-09T01:53:55Z</dcterms:created>
  <dcterms:modified xsi:type="dcterms:W3CDTF">2026-02-21T09:52:09Z</dcterms:modified>
</cp:coreProperties>
</file>